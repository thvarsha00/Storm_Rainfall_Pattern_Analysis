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Yearly Trend" sheetId="2" state="visible" r:id="rId4"/>
    <sheet name="Monthly Pattern" sheetId="3" state="visible" r:id="rId5"/>
    <sheet name="Location Summary" sheetId="4" state="visible" r:id="rId6"/>
    <sheet name="Extreme Events" sheetId="5" state="visible" r:id="rId7"/>
    <sheet name="Frequency vs Intensity" sheetId="6" state="visible" r:id="rId8"/>
    <sheet name="Wind &amp; Storm Conditions" sheetId="7" state="visible" r:id="rId9"/>
    <sheet name="ML Rain Predic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<sst xmlns="http://schemas.openxmlformats.org/spreadsheetml/2006/main" count="226" uniqueCount="161">
  <si>
    <t xml:space="preserve">Storm &amp; Rainfall Pattern Analysis</t>
  </si>
  <si>
    <t xml:space="preserve">Australian Weather Stations — 145,460 daily observations, 49 stations, Nov 2007–Jun 2017</t>
  </si>
  <si>
    <t xml:space="preserve">151</t>
  </si>
  <si>
    <t xml:space="preserve">49</t>
  </si>
  <si>
    <t xml:space="preserve">Cairns</t>
  </si>
  <si>
    <t xml:space="preserve">Feb</t>
  </si>
  <si>
    <t xml:space="preserve">Extreme days (≥100mm)
nationally, 2007-2017</t>
  </si>
  <si>
    <t xml:space="preserve">Weather stations
analysed</t>
  </si>
  <si>
    <t xml:space="preserve">Wettest location
(5.74mm/day avg)</t>
  </si>
  <si>
    <t xml:space="preserve">Peak rainfall month
nationally (3.19mm/day)</t>
  </si>
  <si>
    <t xml:space="preserve">Key Findings</t>
  </si>
  <si>
    <t xml:space="preserve">•  Geography: rainfall and extreme events are concentrated in tropical/sub-tropical stations (Cairns, Darwin, Coffs Harbour, Townsville) — no southern or inland station appears in the top 10.</t>
  </si>
  <si>
    <t xml:space="preserve">•  Seasonality: February is the wettest month nationally (3.19mm/day); October is the driest (1.61mm/day). A secondary June peak reflects southern frontal winter rain.</t>
  </si>
  <si>
    <t xml:space="preserve">•  Yearly trend: No statistically significant trend 2009-2016 (p=0.32). Year-to-year variation tracks El Nino/La Nina cycles — 2011 (wettest) aligns with the documented La Nina flood event; 2014 (driest) aligns with neutral/El Nino conditions.</t>
  </si>
  <si>
    <t xml:space="preserve">•  Extreme events: 151 days nationally reached ≥100mm (BOM 'extreme' tier). These cluster overwhelmingly in Darwin/Cairns/Townsville/Coffs Harbour during Jan-Mar (monsoon/cyclone season).</t>
  </si>
  <si>
    <t xml:space="preserve">•  Atmospheric mechanism: Heavier rain days are significantly associated with lower pressure (r=-0.107) and higher humidity (r=0.117), consistent with monsoon trough / tropical low-pressure systems.</t>
  </si>
  <si>
    <t xml:space="preserve">See tabs: Yearly Trend | Monthly Pattern | Location Summary | Extreme Events for full detail and interactive charts.</t>
  </si>
  <si>
    <t xml:space="preserve">Yearly Rainfall Trend (2009–2016)</t>
  </si>
  <si>
    <t xml:space="preserve">Restricted to years with stable station coverage (46–49 stations).</t>
  </si>
  <si>
    <t xml:space="preserve">Year</t>
  </si>
  <si>
    <t xml:space="preserve">Total Rainfall Mm</t>
  </si>
  <si>
    <t xml:space="preserve">Avg Daily Rainfall Mm</t>
  </si>
  <si>
    <t xml:space="preserve">Rainy Days</t>
  </si>
  <si>
    <t xml:space="preserve">Extreme Rain Days</t>
  </si>
  <si>
    <t xml:space="preserve">Stations Reporting</t>
  </si>
  <si>
    <t xml:space="preserve">Statistical test: linear regression of avg_daily_rainfall_mm ~ year</t>
  </si>
  <si>
    <t xml:space="preserve">Slope (mm/year)</t>
  </si>
  <si>
    <t xml:space="preserve">Slight apparent decline</t>
  </si>
  <si>
    <t xml:space="preserve">p-value</t>
  </si>
  <si>
    <t xml:space="preserve">Not significant (&gt;0.05)</t>
  </si>
  <si>
    <t xml:space="preserve">R-squared</t>
  </si>
  <si>
    <t xml:space="preserve">Only 16% of variance explained</t>
  </si>
  <si>
    <t xml:space="preserve">Monthly Rainfall Seasonality (All Years Pooled)</t>
  </si>
  <si>
    <t xml:space="preserve">Coverage bias from uneven yearly station counts washes out when pooling by month.</t>
  </si>
  <si>
    <t xml:space="preserve">Month</t>
  </si>
  <si>
    <t xml:space="preserve">Jan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</si>
  <si>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</si>
  <si>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</si>
  <si>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</si>
  <si>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</si>
  <si>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</si>
  <si>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</si>
  <si>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</si>
  <si>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</si>
  <si>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</si>
  <si>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</si>
  <si>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Top 10 Wettest Locations (2007–2017)</t>
  </si>
  <si>
    <t xml:space="preserve">Ranked by total rainfall across the full observation period.</t>
  </si>
  <si>
    <t xml:space="preserve">Location</t>
  </si>
  <si>
    <t xml:space="preserve">Total Obs</t>
  </si>
  <si>
    <t xml:space="preserve">Darwin</t>
  </si>
  <si>
    <t xml:space="preserve">CoffsHarbour</t>
  </si>
  <si>
    <t xml:space="preserve">GoldCoast</t>
  </si>
  <si>
    <t xml:space="preserve">Sydney</t>
  </si>
  <si>
    <t xml:space="preserve">Wollongong</t>
  </si>
  <si>
    <t xml:space="preserve">Townsville</t>
  </si>
  <si>
    <t xml:space="preserve">Brisbane</t>
  </si>
  <si>
    <t xml:space="preserve">NorahHead</t>
  </si>
  <si>
    <t xml:space="preserve">MountGinini</t>
  </si>
  <si>
    <t xml:space="preserve">cat_labels</t>
  </si>
  <si>
    <t xml:space="preserve">Extreme Rainfall Events (≥25mm)</t>
  </si>
  <si>
    <t xml:space="preserve">Darwin (Feb)</t>
  </si>
  <si>
    <t xml:space="preserve">Definitions cross-checked against both percentile-based and BOM standard thresholds.</t>
  </si>
  <si>
    <t xml:space="preserve">Cairns (Feb)</t>
  </si>
  <si>
    <t xml:space="preserve">Cairns (Jan)</t>
  </si>
  <si>
    <t xml:space="preserve">Severity Tier Breakdown</t>
  </si>
  <si>
    <t xml:space="preserve">Cairns (Mar)</t>
  </si>
  <si>
    <t xml:space="preserve">Tier</t>
  </si>
  <si>
    <t xml:space="preserve">Threshold Mm</t>
  </si>
  <si>
    <t xml:space="preserve">Day Count</t>
  </si>
  <si>
    <t xml:space="preserve">Pct Of Rainy Obs</t>
  </si>
  <si>
    <t xml:space="preserve">CoffsHarbour (Feb)</t>
  </si>
  <si>
    <t xml:space="preserve">Heavy rain (&gt;=25mm)</t>
  </si>
  <si>
    <t xml:space="preserve">CoffsHarbour (Mar)</t>
  </si>
  <si>
    <t xml:space="preserve">Top 1% (data-driven, &gt;=37.4mm)</t>
  </si>
  <si>
    <t xml:space="preserve">CoffsHarbour (Jan)</t>
  </si>
  <si>
    <t xml:space="preserve">Very heavy rain (&gt;=50mm)</t>
  </si>
  <si>
    <t xml:space="preserve">Brisbane (Jan)</t>
  </si>
  <si>
    <t xml:space="preserve">Extreme/torrential (&gt;=100mm)</t>
  </si>
  <si>
    <t xml:space="preserve">Darwin (Jan)</t>
  </si>
  <si>
    <t xml:space="preserve">GoldCoast (Apr)</t>
  </si>
  <si>
    <t xml:space="preserve">Townsville (Feb)</t>
  </si>
  <si>
    <t xml:space="preserve">Top Location x Month Combinations (≥100mm days)</t>
  </si>
  <si>
    <t xml:space="preserve">Townsville (Mar)</t>
  </si>
  <si>
    <t xml:space="preserve">Extreme Days</t>
  </si>
  <si>
    <t xml:space="preserve">CoffsHarbour (Jun)</t>
  </si>
  <si>
    <t xml:space="preserve">CoffsHarbour (May)</t>
  </si>
  <si>
    <t xml:space="preserve">GoldCoast (Mar)</t>
  </si>
  <si>
    <t xml:space="preserve">Williamtown (Apr)</t>
  </si>
  <si>
    <t xml:space="preserve">Wollongong (Mar)</t>
  </si>
  <si>
    <t xml:space="preserve">Darwin (Dec)</t>
  </si>
  <si>
    <t xml:space="preserve">GoldCoast (Jan)</t>
  </si>
  <si>
    <t xml:space="preserve">Sydney (Apr)</t>
  </si>
  <si>
    <t xml:space="preserve">Williamtown</t>
  </si>
  <si>
    <t xml:space="preserve">Atmospheric Correlation (heavy-rain days, n=2,904)</t>
  </si>
  <si>
    <t xml:space="preserve">Variable</t>
  </si>
  <si>
    <t xml:space="preserve">Correlation R</t>
  </si>
  <si>
    <t xml:space="preserve">P Value</t>
  </si>
  <si>
    <t xml:space="preserve">Direction</t>
  </si>
  <si>
    <t xml:space="preserve">Humidity (9am)</t>
  </si>
  <si>
    <t xml:space="preserve">&lt;0.001</t>
  </si>
  <si>
    <t xml:space="preserve">Higher humidity -&gt; heavier rain</t>
  </si>
  <si>
    <t xml:space="preserve">Pressure (9am)</t>
  </si>
  <si>
    <t xml:space="preserve">Lower pressure -&gt; heavier rain</t>
  </si>
  <si>
    <t xml:space="preserve">Rain Frequency vs Intensity (Top 10 Wettest Locations)</t>
  </si>
  <si>
    <t xml:space="preserve">Frequency = % of observed days with rain. Intensity = average mm per rainy day (excludes dry days).</t>
  </si>
  <si>
    <t xml:space="preserve">Rain Frequency Pct</t>
  </si>
  <si>
    <t xml:space="preserve">Intensity Per Rainy Day Mm</t>
  </si>
  <si>
    <t xml:space="preserve">Insight: Townsville has the lowest rain frequency (17.1%) of the top-10 wettest locations, yet ranks 7th by total volume — confirming the 'infrequent but intense' tropical pattern. Cairns leads on both frequency and intensity.</t>
  </si>
  <si>
    <t xml:space="preserve">Atmospheric Conditions by Storm Severity Tier</t>
  </si>
  <si>
    <t xml:space="preserve">Mean same-day conditions across all heavy-rain-or-worse days (n=2,904), grouped by BOM tier.</t>
  </si>
  <si>
    <t xml:space="preserve">Bom Tier</t>
  </si>
  <si>
    <t xml:space="preserve">Avg Wind Gust Spd</t>
  </si>
  <si>
    <t xml:space="preserve">Avg Pressure 9Am</t>
  </si>
  <si>
    <t xml:space="preserve">Avg Humidity 9Am</t>
  </si>
  <si>
    <t xml:space="preserve">N Days</t>
  </si>
  <si>
    <t xml:space="preserve">Heavy (&gt;=25mm)</t>
  </si>
  <si>
    <t xml:space="preserve">Very heavy (&gt;=50mm)</t>
  </si>
  <si>
    <t xml:space="preserve">Extreme (&gt;=100mm)</t>
  </si>
  <si>
    <t xml:space="preserve">Insight: every variable moves in the direction predicted by monsoon/cyclone theory as severity increases — wind gusts rise (47→55 km/h), humidity rises (86%→90%), and pressure falls (1012→1010 hPa). A clean, monotonic dose-response pattern across all three tiers.</t>
  </si>
  <si>
    <t xml:space="preserve">Predicting Tomorrow's Rain (Logistic Regression)</t>
  </si>
  <si>
    <t xml:space="preserve">Model fit in R on 119,777 complete-case observations using same-day weather conditions.</t>
  </si>
  <si>
    <t xml:space="preserve">Model Performance</t>
  </si>
  <si>
    <t xml:space="preserve">Metric</t>
  </si>
  <si>
    <t xml:space="preserve">Value Pct</t>
  </si>
  <si>
    <t xml:space="preserve">Interpretation</t>
  </si>
  <si>
    <t xml:space="preserve">Accuracy</t>
  </si>
  <si>
    <t xml:space="preserve">Overall correct prediction rate</t>
  </si>
  <si>
    <t xml:space="preserve">Sensitivity (Recall)</t>
  </si>
  <si>
    <t xml:space="preserve">Of actual rain days, % correctly caught</t>
  </si>
  <si>
    <t xml:space="preserve">Specificity</t>
  </si>
  <si>
    <t xml:space="preserve">Of actual dry days, % correctly identified</t>
  </si>
  <si>
    <t xml:space="preserve">Precision</t>
  </si>
  <si>
    <t xml:space="preserve">Of days predicted rain, % that actually rained</t>
  </si>
  <si>
    <t xml:space="preserve">Confusion Matrix</t>
  </si>
  <si>
    <t xml:space="preserve">Predicted Vs Actual</t>
  </si>
  <si>
    <t xml:space="preserve">Actual: No Rain</t>
  </si>
  <si>
    <t xml:space="preserve">Actual: Rain</t>
  </si>
  <si>
    <t xml:space="preserve">Predicted: No Rain</t>
  </si>
  <si>
    <t xml:space="preserve">Predicted: Rain</t>
  </si>
  <si>
    <t xml:space="preserve">Predictor Importance (ranked by |z-value|)</t>
  </si>
  <si>
    <t xml:space="preserve">Coefficient</t>
  </si>
  <si>
    <t xml:space="preserve">Z Value</t>
  </si>
  <si>
    <t xml:space="preserve">Abs Z</t>
  </si>
  <si>
    <t xml:space="preserve">humidity_3pm</t>
  </si>
  <si>
    <t xml:space="preserve">Higher 3pm humidity -&gt; more likely rain tomorrow</t>
  </si>
  <si>
    <t xml:space="preserve">wind_gust_spd</t>
  </si>
  <si>
    <t xml:space="preserve">Stronger gusts -&gt; more likely rain tomorrow</t>
  </si>
  <si>
    <t xml:space="preserve">pressure_3pm</t>
  </si>
  <si>
    <t xml:space="preserve">Higher 3pm pressure -&gt; less likely rain tomorrow</t>
  </si>
  <si>
    <t xml:space="preserve">pressure_9am</t>
  </si>
  <si>
    <t xml:space="preserve">Higher 9am pressure -&gt; more likely rain tomorrow</t>
  </si>
  <si>
    <t xml:space="preserve">rain_today</t>
  </si>
  <si>
    <t xml:space="preserve">Rain today -&gt; more likely rain tomorrow (persistence)</t>
  </si>
  <si>
    <t xml:space="preserve">temp_3pm</t>
  </si>
  <si>
    <t xml:space="preserve">Hotter afternoon -&gt; slightly less likely rain tomorrow</t>
  </si>
  <si>
    <t xml:space="preserve">rainfall_mm</t>
  </si>
  <si>
    <t xml:space="preserve">More rain today -&gt; slightly more likely rain tomorrow</t>
  </si>
  <si>
    <t xml:space="preserve">humidity_9am</t>
  </si>
  <si>
    <t xml:space="preserve">Higher 9am humidity -&gt; slightly more likely rain tomorrow</t>
  </si>
  <si>
    <t xml:space="preserve">Note: z-values are shown as absolute magnitudes here for ranking; see the Direction column above for the sign/effect of each predictor.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</si>
</sst>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.00"/>
    <numFmt numFmtId="167" formatCode="#,##0"/>
    <numFmt numFmtId="168" formatCode="0.00\%"/>
    <numFmt numFmtId="169" formatCode="0.0\%"/>
    <numFmt numFmtId="170" formatCode="0.0"/>
    <numFmt numFmtId="171" formatCode="0.00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22"/>
      <color rgb="FF1F3864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sz val="10"/>
      <color rgb="FF222222"/>
      <name val="Calibri"/>
      <family val="0"/>
      <charset val="1"/>
    </font>
    <font>
      <i val="true"/>
      <sz val="9.5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4472C4"/>
      <name val="Calibri"/>
      <family val="0"/>
      <charset val="1"/>
    </font>
    <font>
      <i val="true"/>
      <sz val="9"/>
      <color rgb="FF59595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F2F8"/>
        <bgColor rgb="FFFFFFFF"/>
      </patternFill>
    </fill>
    <fill>
      <patternFill patternType="solid">
        <fgColor rgb="FF1F3864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EEF2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Daily Rainfall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'Yearly Trend'!D5</c:f>
              <c:strCache>
                <c:ptCount val="1"/>
                <c:pt idx="0">
                  <c:v>Avg Daily Rainfall Mm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Trend'!$B$6:$B$13</c:f>
              <c:strCach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strCache>
            </c:strRef>
          </c:cat>
          <c:val>
            <c:numRef>
              <c:f>'Yearly Trend'!$D$6:$D$13</c:f>
              <c:numCache>
                <c:formatCode>0.00</c:formatCode>
                <c:ptCount val="8"/>
                <c:pt idx="0">
                  <c:v>2.17</c:v>
                </c:pt>
                <c:pt idx="1">
                  <c:v>2.71</c:v>
                </c:pt>
                <c:pt idx="2">
                  <c:v>2.83</c:v>
                </c:pt>
                <c:pt idx="3">
                  <c:v>2.42</c:v>
                </c:pt>
                <c:pt idx="4">
                  <c:v>2.27</c:v>
                </c:pt>
                <c:pt idx="5">
                  <c:v>1.97</c:v>
                </c:pt>
                <c:pt idx="6">
                  <c:v>2.16</c:v>
                </c:pt>
                <c:pt idx="7">
                  <c:v>2.38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272647"/>
        <c:axId val="9443672"/>
      </c:lineChart>
      <c:catAx>
        <c:axId val="442726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3672"/>
        <c:crosses val="autoZero"/>
        <c:auto val="1"/>
        <c:lblAlgn val="ctr"/>
        <c:lblOffset val="100"/>
        <c:noMultiLvlLbl val="0"/>
      </c:catAx>
      <c:valAx>
        <c:axId val="9443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Daily Rainfall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726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Extreme Rainfall Days (≥100mm)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'Yearly Trend'!F5</c:f>
              <c:strCache>
                <c:ptCount val="1"/>
                <c:pt idx="0">
                  <c:v>Extreme Rain Days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Trend'!$B$6:$B$13</c:f>
              <c:strCach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strCache>
            </c:strRef>
          </c:cat>
          <c:val>
            <c:numRef>
              <c:f>'Yearly Trend'!$F$6:$F$13</c:f>
              <c:numCache>
                <c:formatCode>General</c:formatCode>
                <c:ptCount val="8"/>
                <c:pt idx="0">
                  <c:v>17</c:v>
                </c:pt>
                <c:pt idx="1">
                  <c:v>13</c:v>
                </c:pt>
                <c:pt idx="2">
                  <c:v>24</c:v>
                </c:pt>
                <c:pt idx="3">
                  <c:v>17</c:v>
                </c:pt>
                <c:pt idx="4">
                  <c:v>22</c:v>
                </c:pt>
                <c:pt idx="5">
                  <c:v>10</c:v>
                </c:pt>
                <c:pt idx="6">
                  <c:v>22</c:v>
                </c:pt>
                <c:pt idx="7">
                  <c:v>16</c:v>
                </c:pt>
              </c:numCache>
            </c:numRef>
          </c:val>
        </c:ser>
        <c:gapWidth val="150"/>
        <c:overlap val="0"/>
        <c:axId val="31651767"/>
        <c:axId val="66485355"/>
      </c:barChart>
      <c:catAx>
        <c:axId val="316517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85355"/>
        <c:crosses val="autoZero"/>
        <c:auto val="1"/>
        <c:lblAlgn val="ctr"/>
        <c:lblOffset val="100"/>
        <c:noMultiLvlLbl val="0"/>
      </c:catAx>
      <c:valAx>
        <c:axId val="66485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Extreme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517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Daily Rainfall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Pattern'!C5</c:f>
              <c:strCache>
                <c:ptCount val="1"/>
                <c:pt idx="0">
                  <c:v>Avg Daily Rainfall Mm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Pattern'!$B$6:$B$17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Pattern'!$C$6:$C$17</c:f>
              <c:numCache>
                <c:formatCode>0.00</c:formatCode>
                <c:ptCount val="12"/>
                <c:pt idx="0">
                  <c:v>2.74</c:v>
                </c:pt>
                <c:pt idx="1">
                  <c:v>3.19</c:v>
                </c:pt>
                <c:pt idx="2">
                  <c:v>2.81</c:v>
                </c:pt>
                <c:pt idx="3">
                  <c:v>2.33</c:v>
                </c:pt>
                <c:pt idx="4">
                  <c:v>2</c:v>
                </c:pt>
                <c:pt idx="5">
                  <c:v>2.78</c:v>
                </c:pt>
                <c:pt idx="6">
                  <c:v>2.18</c:v>
                </c:pt>
                <c:pt idx="7">
                  <c:v>2.03</c:v>
                </c:pt>
                <c:pt idx="8">
                  <c:v>1.89</c:v>
                </c:pt>
                <c:pt idx="9">
                  <c:v>1.61</c:v>
                </c:pt>
                <c:pt idx="10">
                  <c:v>2.27</c:v>
                </c:pt>
                <c:pt idx="11">
                  <c:v>2.49</c:v>
                </c:pt>
              </c:numCache>
            </c:numRef>
          </c:val>
        </c:ser>
        <c:gapWidth val="150"/>
        <c:overlap val="0"/>
        <c:axId val="18229682"/>
        <c:axId val="7231138"/>
      </c:barChart>
      <c:catAx>
        <c:axId val="182296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1138"/>
        <c:crosses val="autoZero"/>
        <c:auto val="1"/>
        <c:lblAlgn val="ctr"/>
        <c:lblOffset val="100"/>
        <c:noMultiLvlLbl val="0"/>
      </c:catAx>
      <c:valAx>
        <c:axId val="7231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Daily Rainfall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29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Wettest Locations — Total Rainfall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'Location Summary'!D5</c:f>
              <c:strCache>
                <c:ptCount val="1"/>
                <c:pt idx="0">
                  <c:v>Total Rainfall Mm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'Location Summary'!$B$6:$B$15</c:f>
              <c:strCache>
                <c:ptCount val="10"/>
                <c:pt idx="0">
                  <c:v>Cairns</c:v>
                </c:pt>
                <c:pt idx="1">
                  <c:v>Darwin</c:v>
                </c:pt>
                <c:pt idx="2">
                  <c:v>CoffsHarbour</c:v>
                </c:pt>
                <c:pt idx="3">
                  <c:v>GoldCoast</c:v>
                </c:pt>
                <c:pt idx="4">
                  <c:v>Sydney</c:v>
                </c:pt>
                <c:pt idx="5">
                  <c:v>Wollongong</c:v>
                </c:pt>
                <c:pt idx="6">
                  <c:v>Townsville</c:v>
                </c:pt>
                <c:pt idx="7">
                  <c:v>Brisbane</c:v>
                </c:pt>
                <c:pt idx="8">
                  <c:v>NorahHead</c:v>
                </c:pt>
                <c:pt idx="9">
                  <c:v>MountGinini</c:v>
                </c:pt>
              </c:strCache>
            </c:strRef>
          </c:cat>
          <c:val>
            <c:numRef>
              <c:f>'Location Summary'!$D$6:$D$15</c:f>
              <c:numCache>
                <c:formatCode>#,##0.0</c:formatCode>
                <c:ptCount val="10"/>
                <c:pt idx="0">
                  <c:v>17157.2</c:v>
                </c:pt>
                <c:pt idx="1">
                  <c:v>16260.2</c:v>
                </c:pt>
                <c:pt idx="2">
                  <c:v>14946.6</c:v>
                </c:pt>
                <c:pt idx="3">
                  <c:v>11232.8</c:v>
                </c:pt>
                <c:pt idx="4">
                  <c:v>11094</c:v>
                </c:pt>
                <c:pt idx="5">
                  <c:v>10720</c:v>
                </c:pt>
                <c:pt idx="6">
                  <c:v>10571.8</c:v>
                </c:pt>
                <c:pt idx="7">
                  <c:v>9941</c:v>
                </c:pt>
                <c:pt idx="8">
                  <c:v>9921.4</c:v>
                </c:pt>
                <c:pt idx="9">
                  <c:v>9570.6</c:v>
                </c:pt>
              </c:numCache>
            </c:numRef>
          </c:val>
        </c:ser>
        <c:gapWidth val="150"/>
        <c:overlap val="0"/>
        <c:axId val="47545899"/>
        <c:axId val="74245713"/>
      </c:barChart>
      <c:catAx>
        <c:axId val="4754589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Rainfall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45713"/>
        <c:crosses val="autoZero"/>
        <c:auto val="1"/>
        <c:lblAlgn val="ctr"/>
        <c:lblOffset val="100"/>
        <c:noMultiLvlLbl val="0"/>
      </c:catAx>
      <c:valAx>
        <c:axId val="74245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Location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458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Extreme Rain Days (≥100mm) by Location/Month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</c:ser>
        <c:gapWidth val="150"/>
        <c:overlap val="0"/>
        <c:axId val="70125853"/>
        <c:axId val="901180"/>
      </c:barChart>
      <c:catAx>
        <c:axId val="70125853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180"/>
        <c:crosses val="autoZero"/>
        <c:auto val="1"/>
        <c:lblAlgn val="ctr"/>
        <c:lblOffset val="100"/>
        <c:noMultiLvlLbl val="0"/>
      </c:catAx>
      <c:valAx>
        <c:axId val="901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258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 Frequency (% of days)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'Frequency vs Intensity'!C5</c:f>
              <c:strCache>
                <c:ptCount val="1"/>
                <c:pt idx="0">
                  <c:v>Rain Frequency Pct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vs Intensity'!$B$6:$B$15</c:f>
              <c:strCache>
                <c:ptCount val="10"/>
                <c:pt idx="0">
                  <c:v>Cairns</c:v>
                </c:pt>
                <c:pt idx="1">
                  <c:v>Darwin</c:v>
                </c:pt>
                <c:pt idx="2">
                  <c:v>CoffsHarbour</c:v>
                </c:pt>
                <c:pt idx="3">
                  <c:v>GoldCoast</c:v>
                </c:pt>
                <c:pt idx="4">
                  <c:v>Sydney</c:v>
                </c:pt>
                <c:pt idx="5">
                  <c:v>Wollongong</c:v>
                </c:pt>
                <c:pt idx="6">
                  <c:v>Townsville</c:v>
                </c:pt>
                <c:pt idx="7">
                  <c:v>Brisbane</c:v>
                </c:pt>
                <c:pt idx="8">
                  <c:v>NorahHead</c:v>
                </c:pt>
                <c:pt idx="9">
                  <c:v>MountGinini</c:v>
                </c:pt>
              </c:strCache>
            </c:strRef>
          </c:cat>
          <c:val>
            <c:numRef>
              <c:f>'Frequency vs Intensity'!$C$6:$C$15</c:f>
              <c:numCache>
                <c:formatCode>0.0\%</c:formatCode>
                <c:ptCount val="10"/>
                <c:pt idx="0">
                  <c:v>31.2</c:v>
                </c:pt>
                <c:pt idx="1">
                  <c:v>26.7</c:v>
                </c:pt>
                <c:pt idx="2">
                  <c:v>28.9</c:v>
                </c:pt>
                <c:pt idx="3">
                  <c:v>25.5</c:v>
                </c:pt>
                <c:pt idx="4">
                  <c:v>25.9</c:v>
                </c:pt>
                <c:pt idx="5">
                  <c:v>23.5</c:v>
                </c:pt>
                <c:pt idx="6">
                  <c:v>17.1</c:v>
                </c:pt>
                <c:pt idx="7">
                  <c:v>22.2</c:v>
                </c:pt>
                <c:pt idx="8">
                  <c:v>26.9</c:v>
                </c:pt>
                <c:pt idx="9">
                  <c:v>26.9</c:v>
                </c:pt>
              </c:numCache>
            </c:numRef>
          </c:val>
        </c:ser>
        <c:gapWidth val="150"/>
        <c:overlap val="0"/>
        <c:axId val="45087314"/>
        <c:axId val="49109028"/>
      </c:barChart>
      <c:catAx>
        <c:axId val="45087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09028"/>
        <c:crosses val="autoZero"/>
        <c:auto val="1"/>
        <c:lblAlgn val="ctr"/>
        <c:lblOffset val="100"/>
        <c:noMultiLvlLbl val="0"/>
      </c:catAx>
      <c:valAx>
        <c:axId val="49109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Days with 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873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 Intensity (mm per rainy day)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'Frequency vs Intensity'!D5</c:f>
              <c:strCache>
                <c:ptCount val="1"/>
                <c:pt idx="0">
                  <c:v>Intensity Per Rainy Day Mm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vs Intensity'!$B$6:$B$15</c:f>
              <c:strCache>
                <c:ptCount val="10"/>
                <c:pt idx="0">
                  <c:v>Cairns</c:v>
                </c:pt>
                <c:pt idx="1">
                  <c:v>Darwin</c:v>
                </c:pt>
                <c:pt idx="2">
                  <c:v>CoffsHarbour</c:v>
                </c:pt>
                <c:pt idx="3">
                  <c:v>GoldCoast</c:v>
                </c:pt>
                <c:pt idx="4">
                  <c:v>Sydney</c:v>
                </c:pt>
                <c:pt idx="5">
                  <c:v>Wollongong</c:v>
                </c:pt>
                <c:pt idx="6">
                  <c:v>Townsville</c:v>
                </c:pt>
                <c:pt idx="7">
                  <c:v>Brisbane</c:v>
                </c:pt>
                <c:pt idx="8">
                  <c:v>NorahHead</c:v>
                </c:pt>
                <c:pt idx="9">
                  <c:v>MountGinini</c:v>
                </c:pt>
              </c:strCache>
            </c:strRef>
          </c:cat>
          <c:val>
            <c:numRef>
              <c:f>'Frequency vs Intensity'!$D$6:$D$15</c:f>
              <c:numCache>
                <c:formatCode>0.00</c:formatCode>
                <c:ptCount val="10"/>
                <c:pt idx="0">
                  <c:v>18.06</c:v>
                </c:pt>
                <c:pt idx="1">
                  <c:v>19.08</c:v>
                </c:pt>
                <c:pt idx="2">
                  <c:v>17.2</c:v>
                </c:pt>
                <c:pt idx="3">
                  <c:v>14.49</c:v>
                </c:pt>
                <c:pt idx="4">
                  <c:v>12.81</c:v>
                </c:pt>
                <c:pt idx="5">
                  <c:v>15.04</c:v>
                </c:pt>
                <c:pt idx="6">
                  <c:v>20.33</c:v>
                </c:pt>
                <c:pt idx="7">
                  <c:v>14.02</c:v>
                </c:pt>
                <c:pt idx="8">
                  <c:v>12.28</c:v>
                </c:pt>
                <c:pt idx="9">
                  <c:v>11.69</c:v>
                </c:pt>
              </c:numCache>
            </c:numRef>
          </c:val>
        </c:ser>
        <c:gapWidth val="150"/>
        <c:overlap val="0"/>
        <c:axId val="96580847"/>
        <c:axId val="17558851"/>
      </c:barChart>
      <c:catAx>
        <c:axId val="9658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58851"/>
        <c:crosses val="autoZero"/>
        <c:auto val="1"/>
        <c:lblAlgn val="ctr"/>
        <c:lblOffset val="100"/>
        <c:noMultiLvlLbl val="0"/>
      </c:catAx>
      <c:valAx>
        <c:axId val="17558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 per Rainy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808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Wind Gust Speed by Storm Severity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'Wind &amp; Storm Conditions'!C5</c:f>
              <c:strCache>
                <c:ptCount val="1"/>
                <c:pt idx="0">
                  <c:v>Avg Wind Gust Spd</c:v>
                </c:pt>
              </c:strCache>
            </c:strRef>
          </c:tx>
          <c:spPr>
            <a:solidFill>
              <a:srgbClr val="1f3864"/>
            </a:solidFill>
            <a:ln w="24840">
              <a:solidFill>
                <a:srgbClr val="1f3864"/>
              </a:solidFill>
              <a:round/>
            </a:ln>
          </c:spPr>
          <c:marker>
            <c:symbol val="circle"/>
            <c:size val="8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'Wind &amp; Storm Conditions'!$B$6:$B$8</c:f>
              <c:strCache>
                <c:ptCount val="3"/>
                <c:pt idx="0">
                  <c:v>Heavy (&gt;=25mm)</c:v>
                </c:pt>
                <c:pt idx="1">
                  <c:v>Very heavy (&gt;=50mm)</c:v>
                </c:pt>
                <c:pt idx="2">
                  <c:v>Extreme (&gt;=100mm)</c:v>
                </c:pt>
              </c:strCache>
            </c:strRef>
          </c:cat>
          <c:val>
            <c:numRef>
              <c:f>'Wind &amp; Storm Conditions'!$C$6:$C$8</c:f>
              <c:numCache>
                <c:formatCode>0.0</c:formatCode>
                <c:ptCount val="3"/>
                <c:pt idx="0">
                  <c:v>47</c:v>
                </c:pt>
                <c:pt idx="1">
                  <c:v>49.1</c:v>
                </c:pt>
                <c:pt idx="2">
                  <c:v>54.7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4021448"/>
        <c:axId val="89966473"/>
      </c:lineChart>
      <c:catAx>
        <c:axId val="6402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66473"/>
        <c:crosses val="autoZero"/>
        <c:auto val="1"/>
        <c:lblAlgn val="ctr"/>
        <c:lblOffset val="100"/>
        <c:noMultiLvlLbl val="0"/>
      </c:catAx>
      <c:valAx>
        <c:axId val="89966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Wind Gust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214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Humidity (9am) by Storm Severity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'Wind &amp; Storm Conditions'!E5</c:f>
              <c:strCache>
                <c:ptCount val="1"/>
                <c:pt idx="0">
                  <c:v>Avg Humidity 9Am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'Wind &amp; Storm Conditions'!$B$6:$B$8</c:f>
              <c:strCache>
                <c:ptCount val="3"/>
                <c:pt idx="0">
                  <c:v>Heavy (&gt;=25mm)</c:v>
                </c:pt>
                <c:pt idx="1">
                  <c:v>Very heavy (&gt;=50mm)</c:v>
                </c:pt>
                <c:pt idx="2">
                  <c:v>Extreme (&gt;=100mm)</c:v>
                </c:pt>
              </c:strCache>
            </c:strRef>
          </c:cat>
          <c:val>
            <c:numRef>
              <c:f>'Wind &amp; Storm Conditions'!$E$6:$E$8</c:f>
              <c:numCache>
                <c:formatCode>0.0</c:formatCode>
                <c:ptCount val="3"/>
                <c:pt idx="0">
                  <c:v>86</c:v>
                </c:pt>
                <c:pt idx="1">
                  <c:v>88.4</c:v>
                </c:pt>
                <c:pt idx="2">
                  <c:v>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365689"/>
        <c:axId val="87290163"/>
      </c:lineChart>
      <c:catAx>
        <c:axId val="73656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90163"/>
        <c:crosses val="autoZero"/>
        <c:auto val="1"/>
        <c:lblAlgn val="ctr"/>
        <c:lblOffset val="100"/>
        <c:noMultiLvlLbl val="0"/>
      </c:catAx>
      <c:valAx>
        <c:axId val="87290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Humidity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56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Predictor Importance (|z-value|)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'ML Rain Prediction'!F20</c:f>
              <c:strCache>
                <c:ptCount val="1"/>
                <c:pt idx="0">
                  <c:v>Abs Z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'ML Rain Prediction'!$B$21:$B$28</c:f>
              <c:strCache>
                <c:ptCount val="8"/>
                <c:pt idx="0">
                  <c:v>humidity_3pm</c:v>
                </c:pt>
                <c:pt idx="1">
                  <c:v>wind_gust_spd</c:v>
                </c:pt>
                <c:pt idx="2">
                  <c:v>pressure_3pm</c:v>
                </c:pt>
                <c:pt idx="3">
                  <c:v>pressure_9am</c:v>
                </c:pt>
                <c:pt idx="4">
                  <c:v>rain_today</c:v>
                </c:pt>
                <c:pt idx="5">
                  <c:v>temp_3pm</c:v>
                </c:pt>
                <c:pt idx="6">
                  <c:v>rainfall_mm</c:v>
                </c:pt>
                <c:pt idx="7">
                  <c:v>humidity_9am</c:v>
                </c:pt>
              </c:strCache>
            </c:strRef>
          </c:cat>
          <c:val>
            <c:numRef>
              <c:f>'ML Rain Prediction'!$F$21:$F$28</c:f>
              <c:numCache>
                <c:formatCode>0.00</c:formatCode>
                <c:ptCount val="8"/>
                <c:pt idx="0">
                  <c:v>101.96</c:v>
                </c:pt>
                <c:pt idx="1">
                  <c:v>57.39</c:v>
                </c:pt>
                <c:pt idx="2">
                  <c:v>46.9</c:v>
                </c:pt>
                <c:pt idx="3">
                  <c:v>33.17</c:v>
                </c:pt>
                <c:pt idx="4">
                  <c:v>24.21</c:v>
                </c:pt>
                <c:pt idx="5">
                  <c:v>13.45</c:v>
                </c:pt>
                <c:pt idx="6">
                  <c:v>7.41</c:v>
                </c:pt>
                <c:pt idx="7">
                  <c:v>7.21</c:v>
                </c:pt>
              </c:numCache>
            </c:numRef>
          </c:val>
        </c:ser>
        <c:gapWidth val="150"/>
        <c:overlap val="0"/>
        <c:axId val="76722729"/>
        <c:axId val="16329462"/>
      </c:barChart>
      <c:catAx>
        <c:axId val="7672272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|z-value|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29462"/>
        <c:crosses val="autoZero"/>
        <c:auto val="1"/>
        <c:lblAlgn val="ctr"/>
        <c:lblOffset val="100"/>
        <c:noMultiLvlLbl val="0"/>
      </c:catAx>
      <c:valAx>
        <c:axId val="16329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Variable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227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175680</xdr:rowOff>
    </xdr:from>
    <xdr:to>
      <xdr:col>6</xdr:col>
      <xdr:colOff>840960</xdr:colOff>
      <xdr:row>29</xdr:row>
      <xdr:rowOff>177120</xdr:rowOff>
    </xdr:to>
    <xdr:graphicFrame>
      <xdr:nvGraphicFramePr>
        <xdr:cNvPr id="0" name="Chart 1"/>
        <xdr:cNvGraphicFramePr/>
      </xdr:nvGraphicFramePr>
      <xdr:xfrm>
        <a:off x="141120" y="2476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12</xdr:row>
      <xdr:rowOff>175680</xdr:rowOff>
    </xdr:from>
    <xdr:to>
      <xdr:col>20</xdr:col>
      <xdr:colOff>364680</xdr:colOff>
      <xdr:row>29</xdr:row>
      <xdr:rowOff>177120</xdr:rowOff>
    </xdr:to>
    <xdr:graphicFrame>
      <xdr:nvGraphicFramePr>
        <xdr:cNvPr id="1" name="Chart 2"/>
        <xdr:cNvGraphicFramePr/>
      </xdr:nvGraphicFramePr>
      <xdr:xfrm>
        <a:off x="8883000" y="2476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175680</xdr:rowOff>
    </xdr:from>
    <xdr:to>
      <xdr:col>9</xdr:col>
      <xdr:colOff>242640</xdr:colOff>
      <xdr:row>31</xdr:row>
      <xdr:rowOff>155880</xdr:rowOff>
    </xdr:to>
    <xdr:graphicFrame>
      <xdr:nvGraphicFramePr>
        <xdr:cNvPr id="2" name="Chart 1"/>
        <xdr:cNvGraphicFramePr/>
      </xdr:nvGraphicFramePr>
      <xdr:xfrm>
        <a:off x="141120" y="2476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176040</xdr:rowOff>
    </xdr:from>
    <xdr:to>
      <xdr:col>9</xdr:col>
      <xdr:colOff>8280</xdr:colOff>
      <xdr:row>35</xdr:row>
      <xdr:rowOff>135360</xdr:rowOff>
    </xdr:to>
    <xdr:graphicFrame>
      <xdr:nvGraphicFramePr>
        <xdr:cNvPr id="3" name="Chart 1"/>
        <xdr:cNvGraphicFramePr/>
      </xdr:nvGraphicFramePr>
      <xdr:xfrm>
        <a:off x="141120" y="2857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176040</xdr:rowOff>
    </xdr:from>
    <xdr:to>
      <xdr:col>8</xdr:col>
      <xdr:colOff>587520</xdr:colOff>
      <xdr:row>60</xdr:row>
      <xdr:rowOff>155880</xdr:rowOff>
    </xdr:to>
    <xdr:graphicFrame>
      <xdr:nvGraphicFramePr>
        <xdr:cNvPr id="4" name="Chart 1"/>
        <xdr:cNvGraphicFramePr/>
      </xdr:nvGraphicFramePr>
      <xdr:xfrm>
        <a:off x="141120" y="80010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175680</xdr:rowOff>
    </xdr:from>
    <xdr:to>
      <xdr:col>6</xdr:col>
      <xdr:colOff>417960</xdr:colOff>
      <xdr:row>29</xdr:row>
      <xdr:rowOff>177120</xdr:rowOff>
    </xdr:to>
    <xdr:graphicFrame>
      <xdr:nvGraphicFramePr>
        <xdr:cNvPr id="5" name="Chart 1"/>
        <xdr:cNvGraphicFramePr/>
      </xdr:nvGraphicFramePr>
      <xdr:xfrm>
        <a:off x="141120" y="2476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12</xdr:row>
      <xdr:rowOff>175680</xdr:rowOff>
    </xdr:from>
    <xdr:to>
      <xdr:col>20</xdr:col>
      <xdr:colOff>364680</xdr:colOff>
      <xdr:row>29</xdr:row>
      <xdr:rowOff>177120</xdr:rowOff>
    </xdr:to>
    <xdr:graphicFrame>
      <xdr:nvGraphicFramePr>
        <xdr:cNvPr id="6" name="Chart 2"/>
        <xdr:cNvGraphicFramePr/>
      </xdr:nvGraphicFramePr>
      <xdr:xfrm>
        <a:off x="10149840" y="2476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175680</xdr:rowOff>
    </xdr:from>
    <xdr:to>
      <xdr:col>5</xdr:col>
      <xdr:colOff>543960</xdr:colOff>
      <xdr:row>29</xdr:row>
      <xdr:rowOff>177120</xdr:rowOff>
    </xdr:to>
    <xdr:graphicFrame>
      <xdr:nvGraphicFramePr>
        <xdr:cNvPr id="7" name="Chart 1"/>
        <xdr:cNvGraphicFramePr/>
      </xdr:nvGraphicFramePr>
      <xdr:xfrm>
        <a:off x="141120" y="2476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12</xdr:row>
      <xdr:rowOff>175680</xdr:rowOff>
    </xdr:from>
    <xdr:to>
      <xdr:col>19</xdr:col>
      <xdr:colOff>255960</xdr:colOff>
      <xdr:row>29</xdr:row>
      <xdr:rowOff>177120</xdr:rowOff>
    </xdr:to>
    <xdr:graphicFrame>
      <xdr:nvGraphicFramePr>
        <xdr:cNvPr id="8" name="Chart 2"/>
        <xdr:cNvGraphicFramePr/>
      </xdr:nvGraphicFramePr>
      <xdr:xfrm>
        <a:off x="10149840" y="2476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176040</xdr:rowOff>
    </xdr:from>
    <xdr:to>
      <xdr:col>4</xdr:col>
      <xdr:colOff>2124720</xdr:colOff>
      <xdr:row>50</xdr:row>
      <xdr:rowOff>135360</xdr:rowOff>
    </xdr:to>
    <xdr:graphicFrame>
      <xdr:nvGraphicFramePr>
        <xdr:cNvPr id="9" name="Chart 1"/>
        <xdr:cNvGraphicFramePr/>
      </xdr:nvGraphicFramePr>
      <xdr:xfrm>
        <a:off x="141120" y="76582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nfusionMatrix" displayName="ConfusionMatrix" ref="B14:D16" headerRowCount="1" totalsRowCount="0" totalsRowShown="0">
  <autoFilter ref="B14:D16"/>
  <tableColumns count="3">
    <tableColumn id="1" name="Predicted Vs Actual"/>
    <tableColumn id="2" name="Actual: No Rain"/>
    <tableColumn id="3" name="Actual: Rain"/>
  </tableColumns>
</table>
</file>

<file path=xl/tables/table2.xml><?xml version="1.0" encoding="utf-8"?>
<table xmlns="http://schemas.openxmlformats.org/spreadsheetml/2006/main" id="2" name="CorrelationSummary" displayName="CorrelationSummary" ref="B38:E40" headerRowCount="1" totalsRowCount="0" totalsRowShown="0">
  <autoFilter ref="B38:E40"/>
  <tableColumns count="4">
    <tableColumn id="1" name="Variable"/>
    <tableColumn id="2" name="Correlation R"/>
    <tableColumn id="3" name="P Value"/>
    <tableColumn id="4" name="Direction"/>
  </tableColumns>
</table>
</file>

<file path=xl/tables/table3.xml><?xml version="1.0" encoding="utf-8"?>
<table xmlns="http://schemas.openxmlformats.org/spreadsheetml/2006/main" id="3" name="ExtremeBreakdown" displayName="ExtremeBreakdown" ref="B14:D34" headerRowCount="1" totalsRowCount="0" totalsRowShown="0">
  <autoFilter ref="B14:D34"/>
  <tableColumns count="3">
    <tableColumn id="1" name="Location"/>
    <tableColumn id="2" name="Month"/>
    <tableColumn id="3" name="Extreme Days"/>
  </tableColumns>
</table>
</file>

<file path=xl/tables/table4.xml><?xml version="1.0" encoding="utf-8"?>
<table xmlns="http://schemas.openxmlformats.org/spreadsheetml/2006/main" id="4" name="FreqIntensity" displayName="FreqIntensity" ref="B5:F15" headerRowCount="1" totalsRowCount="0" totalsRowShown="0">
  <autoFilter ref="B5:F15"/>
  <tableColumns count="5">
    <tableColumn id="1" name="Location"/>
    <tableColumn id="2" name="Rain Frequency Pct"/>
    <tableColumn id="3" name="Intensity Per Rainy Day Mm"/>
    <tableColumn id="4" name="Avg Daily Rainfall Mm"/>
    <tableColumn id="5" name="Total Rainfall Mm"/>
  </tableColumns>
</table>
</file>

<file path=xl/tables/table5.xml><?xml version="1.0" encoding="utf-8"?>
<table xmlns="http://schemas.openxmlformats.org/spreadsheetml/2006/main" id="5" name="LocationSummary" displayName="LocationSummary" ref="B5:F15" headerRowCount="1" totalsRowCount="0" totalsRowShown="0">
  <autoFilter ref="B5:F15"/>
  <tableColumns count="5">
    <tableColumn id="1" name="Location"/>
    <tableColumn id="2" name="Avg Daily Rainfall Mm"/>
    <tableColumn id="3" name="Total Rainfall Mm"/>
    <tableColumn id="4" name="Rainy Days"/>
    <tableColumn id="5" name="Total Obs"/>
  </tableColumns>
</table>
</file>

<file path=xl/tables/table6.xml><?xml version="1.0" encoding="utf-8"?>
<table xmlns="http://schemas.openxmlformats.org/spreadsheetml/2006/main" id="6" name="ModelPerformance" displayName="ModelPerformance" ref="B6:D10" headerRowCount="1" totalsRowCount="0" totalsRowShown="0">
  <autoFilter ref="B6:D10"/>
  <tableColumns count="3">
    <tableColumn id="1" name="Metric"/>
    <tableColumn id="2" name="Value Pct"/>
    <tableColumn id="3" name="Interpretation"/>
  </tableColumns>
</table>
</file>

<file path=xl/tables/table7.xml><?xml version="1.0" encoding="utf-8"?>
<table xmlns="http://schemas.openxmlformats.org/spreadsheetml/2006/main" id="7" name="MonthlyPattern" displayName="MonthlyPattern" ref="B5:E17" headerRowCount="1" totalsRowCount="0" totalsRowShown="0">
  <autoFilter ref="B5:E17"/>
  <tableColumns count="4">
    <tableColumn id="1" name="Month"/>
    <tableColumn id="2" name="Avg Daily Rainfall Mm"/>
    <tableColumn id="3" name="Total Rainfall Mm"/>
    <tableColumn id="4" name="Rainy Days"/>
  </tableColumns>
</table>
</file>

<file path=xl/tables/table8.xml><?xml version="1.0" encoding="utf-8"?>
<table xmlns="http://schemas.openxmlformats.org/spreadsheetml/2006/main" id="8" name="PredictorImportance" displayName="PredictorImportance" ref="B20:E28" headerRowCount="1" totalsRowCount="0" totalsRowShown="0">
  <autoFilter ref="B20:E28"/>
  <tableColumns count="4">
    <tableColumn id="1" name="Variable"/>
    <tableColumn id="2" name="Coefficient"/>
    <tableColumn id="3" name="Z Value"/>
    <tableColumn id="4" name="Direction"/>
  </tableColumns>
</table>
</file>

<file path=xl/tables/table9.xml><?xml version="1.0" encoding="utf-8"?>
<table xmlns="http://schemas.openxmlformats.org/spreadsheetml/2006/main" id="9" name="TierSummary" displayName="TierSummary" ref="B6:E10" headerRowCount="1" totalsRowCount="0" totalsRowShown="0">
  <autoFilter ref="B6:E10"/>
  <tableColumns count="4">
    <tableColumn id="1" name="Tier"/>
    <tableColumn id="2" name="Threshold Mm"/>
    <tableColumn id="3" name="Day Count"/>
    <tableColumn id="4" name="Pct Of Rainy Obs"/>
  </tableColumns>
</table>
</file>

<file path=xl/tables/table10.xml><?xml version="1.0" encoding="utf-8"?>
<table xmlns="http://schemas.openxmlformats.org/spreadsheetml/2006/main" id="10" name="WindByTier" displayName="WindByTier" ref="B5:F8" headerRowCount="1" totalsRowCount="0" totalsRowShown="0">
  <autoFilter ref="B5:F8"/>
  <tableColumns count="5">
    <tableColumn id="1" name="Bom Tier"/>
    <tableColumn id="2" name="Avg Wind Gust Spd"/>
    <tableColumn id="3" name="Avg Pressure 9Am"/>
    <tableColumn id="4" name="Avg Humidity 9Am"/>
    <tableColumn id="5" name="N Days"/>
  </tableColumns>
</table>
</file>

<file path=xl/tables/table11.xml><?xml version="1.0" encoding="utf-8"?>
<table xmlns="http://schemas.openxmlformats.org/spreadsheetml/2006/main" id="11" name="YearlyTrend" displayName="YearlyTrend" ref="B5:G13" headerRowCount="1" totalsRowCount="0" totalsRowShown="0">
  <autoFilter ref="B5:G13"/>
  <tableColumns count="6">
    <tableColumn id="1" name="Year"/>
    <tableColumn id="2" name="Total Rainfall Mm"/>
    <tableColumn id="3" name="Avg Daily Rainfall Mm"/>
    <tableColumn id="4" name="Rainy Days"/>
    <tableColumn id="5" name="Extreme Rain Days"/>
    <tableColumn id="6" name="Stations Report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0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.xml"/><Relationship Id="rId3" Type="http://schemas.openxmlformats.org/officeDocument/2006/relationships/table" Target="../tables/table6.xml"/><Relationship Id="rId4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6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15" hidden="false" customHeight="false" outlineLevel="0" collapsed="false">
      <c r="B6" s="3"/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B7" s="4" t="s">
        <v>6</v>
      </c>
      <c r="C7" s="4"/>
      <c r="D7" s="4" t="s">
        <v>7</v>
      </c>
      <c r="E7" s="4"/>
      <c r="F7" s="4" t="s">
        <v>8</v>
      </c>
      <c r="G7" s="4"/>
      <c r="H7" s="4" t="s">
        <v>9</v>
      </c>
      <c r="I7" s="4"/>
    </row>
    <row r="8" customFormat="false" ht="30" hidden="false" customHeight="true" outlineLevel="0" collapsed="false">
      <c r="B8" s="4"/>
      <c r="C8" s="4"/>
      <c r="D8" s="4"/>
      <c r="E8" s="4"/>
      <c r="F8" s="4"/>
      <c r="G8" s="4"/>
      <c r="H8" s="4"/>
      <c r="I8" s="4"/>
    </row>
    <row r="11" customFormat="false" ht="16.15" hidden="false" customHeight="false" outlineLevel="0" collapsed="false">
      <c r="B11" s="5" t="s">
        <v>10</v>
      </c>
    </row>
    <row r="12" customFormat="false" ht="30" hidden="false" customHeight="true" outlineLevel="0" collapsed="false">
      <c r="B12" s="6" t="s">
        <v>11</v>
      </c>
      <c r="C12" s="6"/>
      <c r="D12" s="6"/>
      <c r="E12" s="6"/>
      <c r="F12" s="6"/>
      <c r="G12" s="6"/>
      <c r="H12" s="6"/>
      <c r="I12" s="6"/>
      <c r="J12" s="6"/>
    </row>
    <row r="13" customFormat="false" ht="30" hidden="false" customHeight="true" outlineLevel="0" collapsed="false">
      <c r="B13" s="6" t="s">
        <v>12</v>
      </c>
      <c r="C13" s="6"/>
      <c r="D13" s="6"/>
      <c r="E13" s="6"/>
      <c r="F13" s="6"/>
      <c r="G13" s="6"/>
      <c r="H13" s="6"/>
      <c r="I13" s="6"/>
      <c r="J13" s="6"/>
    </row>
    <row r="14" customFormat="false" ht="30" hidden="false" customHeight="true" outlineLevel="0" collapsed="false">
      <c r="B14" s="6" t="s">
        <v>13</v>
      </c>
      <c r="C14" s="6"/>
      <c r="D14" s="6"/>
      <c r="E14" s="6"/>
      <c r="F14" s="6"/>
      <c r="G14" s="6"/>
      <c r="H14" s="6"/>
      <c r="I14" s="6"/>
      <c r="J14" s="6"/>
    </row>
    <row r="15" customFormat="false" ht="30" hidden="false" customHeight="true" outlineLevel="0" collapsed="false">
      <c r="B15" s="6" t="s">
        <v>14</v>
      </c>
      <c r="C15" s="6"/>
      <c r="D15" s="6"/>
      <c r="E15" s="6"/>
      <c r="F15" s="6"/>
      <c r="G15" s="6"/>
      <c r="H15" s="6"/>
      <c r="I15" s="6"/>
      <c r="J15" s="6"/>
    </row>
    <row r="16" customFormat="false" ht="30" hidden="false" customHeight="true" outlineLevel="0" collapsed="false">
      <c r="B16" s="6" t="s">
        <v>15</v>
      </c>
      <c r="C16" s="6"/>
      <c r="D16" s="6"/>
      <c r="E16" s="6"/>
      <c r="F16" s="6"/>
      <c r="G16" s="6"/>
      <c r="H16" s="6"/>
      <c r="I16" s="6"/>
      <c r="J16" s="6"/>
    </row>
    <row r="18" customFormat="false" ht="15" hidden="false" customHeight="false" outlineLevel="0" collapsed="false">
      <c r="B18" s="7" t="s">
        <v>16</v>
      </c>
    </row>
  </sheetData>
  <mergeCells count="15">
    <mergeCell ref="B2:H2"/>
    <mergeCell ref="B3:H3"/>
    <mergeCell ref="B5:C6"/>
    <mergeCell ref="D5:E6"/>
    <mergeCell ref="F5:G6"/>
    <mergeCell ref="H5:I6"/>
    <mergeCell ref="B7:C8"/>
    <mergeCell ref="D7:E8"/>
    <mergeCell ref="F7:G8"/>
    <mergeCell ref="H7:I8"/>
    <mergeCell ref="B12:J12"/>
    <mergeCell ref="B13:J13"/>
    <mergeCell ref="B14:J14"/>
    <mergeCell ref="B15:J15"/>
    <mergeCell ref="B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18"/>
  </cols>
  <sheetData>
    <row r="2" customFormat="false" ht="16.15" hidden="false" customHeight="false" outlineLevel="0" collapsed="false">
      <c r="B2" s="5" t="s">
        <v>17</v>
      </c>
    </row>
    <row r="3" customFormat="false" ht="15" hidden="false" customHeight="false" outlineLevel="0" collapsed="false">
      <c r="B3" s="8" t="s">
        <v>18</v>
      </c>
    </row>
    <row r="5" customFormat="false" ht="15" hidden="false" customHeight="false" outlineLevel="0" collapsed="false">
      <c r="B5" s="9" t="s">
        <v>19</v>
      </c>
      <c r="C5" s="9" t="s">
        <v>20</v>
      </c>
      <c r="D5" s="9" t="s">
        <v>21</v>
      </c>
      <c r="E5" s="9" t="s">
        <v>22</v>
      </c>
      <c r="F5" s="9" t="s">
        <v>23</v>
      </c>
      <c r="G5" s="9" t="s">
        <v>24</v>
      </c>
    </row>
    <row r="6" customFormat="false" ht="15" hidden="false" customHeight="false" outlineLevel="0" collapsed="false">
      <c r="B6" s="10" t="n">
        <v>2009</v>
      </c>
      <c r="C6" s="11" t="n">
        <v>35949</v>
      </c>
      <c r="D6" s="12" t="n">
        <v>2.17</v>
      </c>
      <c r="E6" s="10" t="n">
        <v>3595</v>
      </c>
      <c r="F6" s="10" t="n">
        <v>17</v>
      </c>
      <c r="G6" s="10" t="n">
        <v>46</v>
      </c>
    </row>
    <row r="7" customFormat="false" ht="15" hidden="false" customHeight="false" outlineLevel="0" collapsed="false">
      <c r="B7" s="10" t="n">
        <v>2010</v>
      </c>
      <c r="C7" s="11" t="n">
        <v>44518.8</v>
      </c>
      <c r="D7" s="12" t="n">
        <v>2.71</v>
      </c>
      <c r="E7" s="10" t="n">
        <v>4009</v>
      </c>
      <c r="F7" s="10" t="n">
        <v>13</v>
      </c>
      <c r="G7" s="10" t="n">
        <v>46</v>
      </c>
    </row>
    <row r="8" customFormat="false" ht="15" hidden="false" customHeight="false" outlineLevel="0" collapsed="false">
      <c r="B8" s="10" t="n">
        <v>2011</v>
      </c>
      <c r="C8" s="11" t="n">
        <v>42791.6</v>
      </c>
      <c r="D8" s="12" t="n">
        <v>2.83</v>
      </c>
      <c r="E8" s="10" t="n">
        <v>3735</v>
      </c>
      <c r="F8" s="10" t="n">
        <v>24</v>
      </c>
      <c r="G8" s="10" t="n">
        <v>46</v>
      </c>
    </row>
    <row r="9" customFormat="false" ht="15" hidden="false" customHeight="false" outlineLevel="0" collapsed="false">
      <c r="B9" s="10" t="n">
        <v>2012</v>
      </c>
      <c r="C9" s="11" t="n">
        <v>36346.9</v>
      </c>
      <c r="D9" s="12" t="n">
        <v>2.42</v>
      </c>
      <c r="E9" s="10" t="n">
        <v>3394</v>
      </c>
      <c r="F9" s="10" t="n">
        <v>17</v>
      </c>
      <c r="G9" s="10" t="n">
        <v>46</v>
      </c>
    </row>
    <row r="10" customFormat="false" ht="15" hidden="false" customHeight="false" outlineLevel="0" collapsed="false">
      <c r="B10" s="10" t="n">
        <v>2013</v>
      </c>
      <c r="C10" s="11" t="n">
        <v>36583.4</v>
      </c>
      <c r="D10" s="12" t="n">
        <v>2.27</v>
      </c>
      <c r="E10" s="10" t="n">
        <v>3465</v>
      </c>
      <c r="F10" s="10" t="n">
        <v>22</v>
      </c>
      <c r="G10" s="10" t="n">
        <v>49</v>
      </c>
    </row>
    <row r="11" customFormat="false" ht="15" hidden="false" customHeight="false" outlineLevel="0" collapsed="false">
      <c r="B11" s="10" t="n">
        <v>2014</v>
      </c>
      <c r="C11" s="11" t="n">
        <v>34210.4</v>
      </c>
      <c r="D11" s="12" t="n">
        <v>1.97</v>
      </c>
      <c r="E11" s="10" t="n">
        <v>3554</v>
      </c>
      <c r="F11" s="10" t="n">
        <v>10</v>
      </c>
      <c r="G11" s="10" t="n">
        <v>49</v>
      </c>
    </row>
    <row r="12" customFormat="false" ht="15" hidden="false" customHeight="false" outlineLevel="0" collapsed="false">
      <c r="B12" s="10" t="n">
        <v>2015</v>
      </c>
      <c r="C12" s="11" t="n">
        <v>37234.1</v>
      </c>
      <c r="D12" s="12" t="n">
        <v>2.16</v>
      </c>
      <c r="E12" s="10" t="n">
        <v>3651</v>
      </c>
      <c r="F12" s="10" t="n">
        <v>22</v>
      </c>
      <c r="G12" s="10" t="n">
        <v>49</v>
      </c>
    </row>
    <row r="13" customFormat="false" ht="15" hidden="false" customHeight="false" outlineLevel="0" collapsed="false">
      <c r="B13" s="10" t="n">
        <v>2016</v>
      </c>
      <c r="C13" s="11" t="n">
        <v>41742.4</v>
      </c>
      <c r="D13" s="12" t="n">
        <v>2.38</v>
      </c>
      <c r="E13" s="10" t="n">
        <v>4180</v>
      </c>
      <c r="F13" s="10" t="n">
        <v>16</v>
      </c>
      <c r="G13" s="10" t="n">
        <v>49</v>
      </c>
    </row>
    <row r="16" customFormat="false" ht="15" hidden="false" customHeight="false" outlineLevel="0" collapsed="false">
      <c r="B16" s="13" t="s">
        <v>25</v>
      </c>
    </row>
    <row r="17" customFormat="false" ht="15" hidden="false" customHeight="false" outlineLevel="0" collapsed="false">
      <c r="B17" s="14" t="s">
        <v>26</v>
      </c>
      <c r="C17" s="14" t="n">
        <v>-0.048</v>
      </c>
      <c r="D17" s="15" t="s">
        <v>27</v>
      </c>
    </row>
    <row r="18" customFormat="false" ht="15" hidden="false" customHeight="false" outlineLevel="0" collapsed="false">
      <c r="B18" s="14" t="s">
        <v>28</v>
      </c>
      <c r="C18" s="14" t="n">
        <v>0.32</v>
      </c>
      <c r="D18" s="15" t="s">
        <v>29</v>
      </c>
    </row>
    <row r="19" customFormat="false" ht="15" hidden="false" customHeight="false" outlineLevel="0" collapsed="false">
      <c r="B19" s="14" t="s">
        <v>30</v>
      </c>
      <c r="C19" s="14" t="n">
        <v>0.16</v>
      </c>
      <c r="D19" s="1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16.15" hidden="false" customHeight="false" outlineLevel="0" collapsed="false">
      <c r="B2" s="5" t="s">
        <v>32</v>
      </c>
    </row>
    <row r="3" customFormat="false" ht="15" hidden="false" customHeight="false" outlineLevel="0" collapsed="false">
      <c r="B3" s="8" t="s">
        <v>33</v>
      </c>
    </row>
    <row r="5" customFormat="false" ht="15" hidden="false" customHeight="false" outlineLevel="0" collapsed="false">
      <c r="B5" s="9" t="s">
        <v>34</v>
      </c>
      <c r="C5" s="9" t="s">
        <v>21</v>
      </c>
      <c r="D5" s="9" t="s">
        <v>20</v>
      </c>
      <c r="E5" s="9" t="s">
        <v>22</v>
      </c>
    </row>
    <row r="6" customFormat="false" ht="15" hidden="false" customHeight="false" outlineLevel="0" collapsed="false">
      <c r="B6" s="10" t="s">
        <v>35</v>
      </c>
      <c r="C6" s="12" t="n">
        <v>2.74</v>
      </c>
      <c r="D6" s="11" t="n">
        <v>35364.7</v>
      </c>
      <c r="E6" s="10" t="n">
        <v>2447</v>
      </c>
    </row>
    <row r="7" customFormat="false" ht="15" hidden="false" customHeight="false" outlineLevel="0" collapsed="false">
      <c r="B7" s="10" t="s">
        <v>5</v>
      </c>
      <c r="C7" s="12" t="n">
        <v>3.19</v>
      </c>
      <c r="D7" s="11" t="n">
        <v>33560.7</v>
      </c>
      <c r="E7" s="10" t="n">
        <v>2176</v>
      </c>
    </row>
    <row r="8" customFormat="false" ht="15" hidden="false" customHeight="false" outlineLevel="0" collapsed="false">
      <c r="B8" s="10" t="s">
        <v>36</v>
      </c>
      <c r="C8" s="12" t="n">
        <v>2.81</v>
      </c>
      <c r="D8" s="11" t="n">
        <v>36694.8</v>
      </c>
      <c r="E8" s="10" t="n">
        <v>2831</v>
      </c>
    </row>
    <row r="9" customFormat="false" ht="15" hidden="false" customHeight="false" outlineLevel="0" collapsed="false">
      <c r="B9" s="10" t="s">
        <v>37</v>
      </c>
      <c r="C9" s="12" t="n">
        <v>2.33</v>
      </c>
      <c r="D9" s="11" t="n">
        <v>26390.5</v>
      </c>
      <c r="E9" s="10" t="n">
        <v>2451</v>
      </c>
    </row>
    <row r="10" customFormat="false" ht="15" hidden="false" customHeight="false" outlineLevel="0" collapsed="false">
      <c r="B10" s="10" t="s">
        <v>38</v>
      </c>
      <c r="C10" s="12" t="n">
        <v>2</v>
      </c>
      <c r="D10" s="11" t="n">
        <v>26137.6</v>
      </c>
      <c r="E10" s="10" t="n">
        <v>2901</v>
      </c>
    </row>
    <row r="11" customFormat="false" ht="15" hidden="false" customHeight="false" outlineLevel="0" collapsed="false">
      <c r="B11" s="10" t="s">
        <v>39</v>
      </c>
      <c r="C11" s="12" t="n">
        <v>2.78</v>
      </c>
      <c r="D11" s="11" t="n">
        <v>34476.8</v>
      </c>
      <c r="E11" s="10" t="n">
        <v>3267</v>
      </c>
    </row>
    <row r="12" customFormat="false" ht="15" hidden="false" customHeight="false" outlineLevel="0" collapsed="false">
      <c r="B12" s="10" t="s">
        <v>40</v>
      </c>
      <c r="C12" s="12" t="n">
        <v>2.18</v>
      </c>
      <c r="D12" s="11" t="n">
        <v>25727.8</v>
      </c>
      <c r="E12" s="10" t="n">
        <v>3189</v>
      </c>
    </row>
    <row r="13" customFormat="false" ht="15" hidden="false" customHeight="false" outlineLevel="0" collapsed="false">
      <c r="B13" s="10" t="s">
        <v>41</v>
      </c>
      <c r="C13" s="12" t="n">
        <v>2.03</v>
      </c>
      <c r="D13" s="11" t="n">
        <v>23937.5</v>
      </c>
      <c r="E13" s="10" t="n">
        <v>2978</v>
      </c>
    </row>
    <row r="14" customFormat="false" ht="15" hidden="false" customHeight="false" outlineLevel="0" collapsed="false">
      <c r="B14" s="10" t="s">
        <v>42</v>
      </c>
      <c r="C14" s="12" t="n">
        <v>1.89</v>
      </c>
      <c r="D14" s="11" t="n">
        <v>21429.3</v>
      </c>
      <c r="E14" s="10" t="n">
        <v>2600</v>
      </c>
    </row>
    <row r="15" customFormat="false" ht="15" hidden="false" customHeight="false" outlineLevel="0" collapsed="false">
      <c r="B15" s="10" t="s">
        <v>43</v>
      </c>
      <c r="C15" s="12" t="n">
        <v>1.61</v>
      </c>
      <c r="D15" s="11" t="n">
        <v>19071.6</v>
      </c>
      <c r="E15" s="10" t="n">
        <v>2321</v>
      </c>
    </row>
    <row r="16" customFormat="false" ht="15" hidden="false" customHeight="false" outlineLevel="0" collapsed="false">
      <c r="B16" s="10" t="s">
        <v>44</v>
      </c>
      <c r="C16" s="12" t="n">
        <v>2.27</v>
      </c>
      <c r="D16" s="11" t="n">
        <v>25979.7</v>
      </c>
      <c r="E16" s="10" t="n">
        <v>2415</v>
      </c>
    </row>
    <row r="17" customFormat="false" ht="15" hidden="false" customHeight="false" outlineLevel="0" collapsed="false">
      <c r="B17" s="10" t="s">
        <v>45</v>
      </c>
      <c r="C17" s="12" t="n">
        <v>2.49</v>
      </c>
      <c r="D17" s="11" t="n">
        <v>26949.2</v>
      </c>
      <c r="E17" s="10" t="n">
        <v>2304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6" min="5" style="0" width="12"/>
  </cols>
  <sheetData>
    <row r="2" customFormat="false" ht="16.15" hidden="false" customHeight="false" outlineLevel="0" collapsed="false">
      <c r="B2" s="5" t="s">
        <v>46</v>
      </c>
    </row>
    <row r="3" customFormat="false" ht="15" hidden="false" customHeight="false" outlineLevel="0" collapsed="false">
      <c r="B3" s="8" t="s">
        <v>47</v>
      </c>
    </row>
    <row r="5" customFormat="false" ht="15" hidden="false" customHeight="false" outlineLevel="0" collapsed="false">
      <c r="B5" s="9" t="s">
        <v>48</v>
      </c>
      <c r="C5" s="9" t="s">
        <v>21</v>
      </c>
      <c r="D5" s="9" t="s">
        <v>20</v>
      </c>
      <c r="E5" s="9" t="s">
        <v>22</v>
      </c>
      <c r="F5" s="9" t="s">
        <v>49</v>
      </c>
    </row>
    <row r="6" customFormat="false" ht="15" hidden="false" customHeight="false" outlineLevel="0" collapsed="false">
      <c r="B6" s="10" t="s">
        <v>4</v>
      </c>
      <c r="C6" s="12" t="n">
        <v>5.74</v>
      </c>
      <c r="D6" s="11" t="n">
        <v>17157.2</v>
      </c>
      <c r="E6" s="10" t="n">
        <v>950</v>
      </c>
      <c r="F6" s="10" t="n">
        <v>3040</v>
      </c>
    </row>
    <row r="7" customFormat="false" ht="15" hidden="false" customHeight="false" outlineLevel="0" collapsed="false">
      <c r="B7" s="10" t="s">
        <v>50</v>
      </c>
      <c r="C7" s="12" t="n">
        <v>5.09</v>
      </c>
      <c r="D7" s="11" t="n">
        <v>16260.2</v>
      </c>
      <c r="E7" s="10" t="n">
        <v>852</v>
      </c>
      <c r="F7" s="10" t="n">
        <v>3193</v>
      </c>
    </row>
    <row r="8" customFormat="false" ht="15" hidden="false" customHeight="false" outlineLevel="0" collapsed="false">
      <c r="B8" s="10" t="s">
        <v>51</v>
      </c>
      <c r="C8" s="12" t="n">
        <v>5.06</v>
      </c>
      <c r="D8" s="11" t="n">
        <v>14946.6</v>
      </c>
      <c r="E8" s="10" t="n">
        <v>869</v>
      </c>
      <c r="F8" s="10" t="n">
        <v>3009</v>
      </c>
    </row>
    <row r="9" customFormat="false" ht="15" hidden="false" customHeight="false" outlineLevel="0" collapsed="false">
      <c r="B9" s="10" t="s">
        <v>52</v>
      </c>
      <c r="C9" s="12" t="n">
        <v>3.77</v>
      </c>
      <c r="D9" s="11" t="n">
        <v>11232.8</v>
      </c>
      <c r="E9" s="10" t="n">
        <v>775</v>
      </c>
      <c r="F9" s="10" t="n">
        <v>3040</v>
      </c>
    </row>
    <row r="10" customFormat="false" ht="15" hidden="false" customHeight="false" outlineLevel="0" collapsed="false">
      <c r="B10" s="10" t="s">
        <v>53</v>
      </c>
      <c r="C10" s="12" t="n">
        <v>3.32</v>
      </c>
      <c r="D10" s="11" t="n">
        <v>11094</v>
      </c>
      <c r="E10" s="10" t="n">
        <v>866</v>
      </c>
      <c r="F10" s="10" t="n">
        <v>3344</v>
      </c>
    </row>
    <row r="11" customFormat="false" ht="15" hidden="false" customHeight="false" outlineLevel="0" collapsed="false">
      <c r="B11" s="10" t="s">
        <v>54</v>
      </c>
      <c r="C11" s="12" t="n">
        <v>3.59</v>
      </c>
      <c r="D11" s="11" t="n">
        <v>10720</v>
      </c>
      <c r="E11" s="10" t="n">
        <v>713</v>
      </c>
      <c r="F11" s="10" t="n">
        <v>3040</v>
      </c>
    </row>
    <row r="12" customFormat="false" ht="15" hidden="false" customHeight="false" outlineLevel="0" collapsed="false">
      <c r="B12" s="10" t="s">
        <v>55</v>
      </c>
      <c r="C12" s="12" t="n">
        <v>3.49</v>
      </c>
      <c r="D12" s="11" t="n">
        <v>10571.8</v>
      </c>
      <c r="E12" s="10" t="n">
        <v>520</v>
      </c>
      <c r="F12" s="10" t="n">
        <v>3040</v>
      </c>
    </row>
    <row r="13" customFormat="false" ht="15" hidden="false" customHeight="false" outlineLevel="0" collapsed="false">
      <c r="B13" s="10" t="s">
        <v>56</v>
      </c>
      <c r="C13" s="12" t="n">
        <v>3.14</v>
      </c>
      <c r="D13" s="11" t="n">
        <v>9941</v>
      </c>
      <c r="E13" s="10" t="n">
        <v>709</v>
      </c>
      <c r="F13" s="10" t="n">
        <v>3193</v>
      </c>
    </row>
    <row r="14" customFormat="false" ht="15" hidden="false" customHeight="false" outlineLevel="0" collapsed="false">
      <c r="B14" s="10" t="s">
        <v>57</v>
      </c>
      <c r="C14" s="12" t="n">
        <v>3.39</v>
      </c>
      <c r="D14" s="11" t="n">
        <v>9921.4</v>
      </c>
      <c r="E14" s="10" t="n">
        <v>808</v>
      </c>
      <c r="F14" s="10" t="n">
        <v>3004</v>
      </c>
    </row>
    <row r="15" customFormat="false" ht="15" hidden="false" customHeight="false" outlineLevel="0" collapsed="false">
      <c r="B15" s="10" t="s">
        <v>58</v>
      </c>
      <c r="C15" s="12" t="n">
        <v>3.29</v>
      </c>
      <c r="D15" s="11" t="n">
        <v>9570.6</v>
      </c>
      <c r="E15" s="10" t="n">
        <v>819</v>
      </c>
      <c r="F15" s="10" t="n">
        <v>3040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T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26"/>
    <col collapsed="false" customWidth="true" hidden="true" outlineLevel="0" max="20" min="20" style="0" width="13"/>
  </cols>
  <sheetData>
    <row r="1" customFormat="false" ht="15" hidden="false" customHeight="false" outlineLevel="0" collapsed="false">
      <c r="T1" s="0" t="s">
        <v>59</v>
      </c>
    </row>
    <row r="2" customFormat="false" ht="16.15" hidden="false" customHeight="false" outlineLevel="0" collapsed="false">
      <c r="B2" s="5" t="s">
        <v>60</v>
      </c>
      <c r="T2" s="16" t="s">
        <v>61</v>
      </c>
    </row>
    <row r="3" customFormat="false" ht="15" hidden="false" customHeight="false" outlineLevel="0" collapsed="false">
      <c r="B3" s="8" t="s">
        <v>62</v>
      </c>
      <c r="T3" s="16" t="s">
        <v>63</v>
      </c>
    </row>
    <row r="4" customFormat="false" ht="15" hidden="false" customHeight="false" outlineLevel="0" collapsed="false">
      <c r="T4" s="0" t="s">
        <v>64</v>
      </c>
    </row>
    <row r="5" customFormat="false" ht="15" hidden="false" customHeight="false" outlineLevel="0" collapsed="false">
      <c r="B5" s="17" t="s">
        <v>65</v>
      </c>
      <c r="T5" s="16" t="s">
        <v>66</v>
      </c>
    </row>
    <row r="6" customFormat="false" ht="15" hidden="false" customHeight="false" outlineLevel="0" collapsed="false">
      <c r="B6" s="9" t="s">
        <v>67</v>
      </c>
      <c r="C6" s="9" t="s">
        <v>68</v>
      </c>
      <c r="D6" s="9" t="s">
        <v>69</v>
      </c>
      <c r="E6" s="9" t="s">
        <v>70</v>
      </c>
      <c r="T6" s="16" t="s">
        <v>71</v>
      </c>
    </row>
    <row r="7" customFormat="false" ht="15" hidden="false" customHeight="false" outlineLevel="0" collapsed="false">
      <c r="B7" s="10" t="s">
        <v>72</v>
      </c>
      <c r="C7" s="10" t="n">
        <v>25</v>
      </c>
      <c r="D7" s="18" t="n">
        <v>2904</v>
      </c>
      <c r="E7" s="19" t="n">
        <v>2</v>
      </c>
      <c r="T7" s="16" t="s">
        <v>73</v>
      </c>
    </row>
    <row r="8" customFormat="false" ht="15" hidden="false" customHeight="false" outlineLevel="0" collapsed="false">
      <c r="B8" s="10" t="s">
        <v>74</v>
      </c>
      <c r="C8" s="10" t="n">
        <v>37.4</v>
      </c>
      <c r="D8" s="18" t="n">
        <v>1435</v>
      </c>
      <c r="E8" s="19" t="n">
        <v>1</v>
      </c>
      <c r="T8" s="16" t="s">
        <v>75</v>
      </c>
    </row>
    <row r="9" customFormat="false" ht="15" hidden="false" customHeight="false" outlineLevel="0" collapsed="false">
      <c r="B9" s="10" t="s">
        <v>76</v>
      </c>
      <c r="C9" s="10" t="n">
        <v>50</v>
      </c>
      <c r="D9" s="18" t="n">
        <v>808</v>
      </c>
      <c r="E9" s="19" t="n">
        <v>0.57</v>
      </c>
      <c r="T9" s="16" t="s">
        <v>77</v>
      </c>
    </row>
    <row r="10" customFormat="false" ht="15" hidden="false" customHeight="false" outlineLevel="0" collapsed="false">
      <c r="B10" s="10" t="s">
        <v>78</v>
      </c>
      <c r="C10" s="10" t="n">
        <v>100</v>
      </c>
      <c r="D10" s="18" t="n">
        <v>151</v>
      </c>
      <c r="E10" s="19" t="n">
        <v>0.11</v>
      </c>
      <c r="T10" s="16" t="s">
        <v>79</v>
      </c>
    </row>
    <row r="11" customFormat="false" ht="15" hidden="false" customHeight="false" outlineLevel="0" collapsed="false">
      <c r="T11" s="0" t="s">
        <v>80</v>
      </c>
    </row>
    <row r="12" customFormat="false" ht="15" hidden="false" customHeight="false" outlineLevel="0" collapsed="false">
      <c r="T12" s="0" t="s">
        <v>81</v>
      </c>
    </row>
    <row r="13" customFormat="false" ht="15" hidden="false" customHeight="false" outlineLevel="0" collapsed="false">
      <c r="B13" s="17" t="s">
        <v>82</v>
      </c>
      <c r="T13" s="16" t="s">
        <v>83</v>
      </c>
    </row>
    <row r="14" customFormat="false" ht="15" hidden="false" customHeight="false" outlineLevel="0" collapsed="false">
      <c r="B14" s="9" t="s">
        <v>48</v>
      </c>
      <c r="C14" s="9" t="s">
        <v>34</v>
      </c>
      <c r="D14" s="9" t="s">
        <v>84</v>
      </c>
      <c r="T14" s="16" t="s">
        <v>85</v>
      </c>
    </row>
    <row r="15" customFormat="false" ht="15" hidden="false" customHeight="false" outlineLevel="0" collapsed="false">
      <c r="B15" s="10" t="s">
        <v>50</v>
      </c>
      <c r="C15" s="10" t="s">
        <v>5</v>
      </c>
      <c r="D15" s="10" t="n">
        <v>8</v>
      </c>
      <c r="T15" s="16" t="s">
        <v>86</v>
      </c>
    </row>
    <row r="16" customFormat="false" ht="15" hidden="false" customHeight="false" outlineLevel="0" collapsed="false">
      <c r="B16" s="10" t="s">
        <v>4</v>
      </c>
      <c r="C16" s="10" t="s">
        <v>5</v>
      </c>
      <c r="D16" s="10" t="n">
        <v>7</v>
      </c>
      <c r="T16" s="16" t="s">
        <v>87</v>
      </c>
    </row>
    <row r="17" customFormat="false" ht="15" hidden="false" customHeight="false" outlineLevel="0" collapsed="false">
      <c r="B17" s="10" t="s">
        <v>4</v>
      </c>
      <c r="C17" s="10" t="s">
        <v>35</v>
      </c>
      <c r="D17" s="10" t="n">
        <v>7</v>
      </c>
      <c r="T17" s="16" t="s">
        <v>88</v>
      </c>
    </row>
    <row r="18" customFormat="false" ht="15" hidden="false" customHeight="false" outlineLevel="0" collapsed="false">
      <c r="B18" s="10" t="s">
        <v>4</v>
      </c>
      <c r="C18" s="10" t="s">
        <v>36</v>
      </c>
      <c r="D18" s="10" t="n">
        <v>5</v>
      </c>
      <c r="T18" s="16" t="s">
        <v>89</v>
      </c>
    </row>
    <row r="19" customFormat="false" ht="15" hidden="false" customHeight="false" outlineLevel="0" collapsed="false">
      <c r="B19" s="10" t="s">
        <v>51</v>
      </c>
      <c r="C19" s="10" t="s">
        <v>5</v>
      </c>
      <c r="D19" s="10" t="n">
        <v>4</v>
      </c>
      <c r="T19" s="16" t="s">
        <v>90</v>
      </c>
    </row>
    <row r="20" customFormat="false" ht="15" hidden="false" customHeight="false" outlineLevel="0" collapsed="false">
      <c r="B20" s="10" t="s">
        <v>51</v>
      </c>
      <c r="C20" s="10" t="s">
        <v>36</v>
      </c>
      <c r="D20" s="10" t="n">
        <v>4</v>
      </c>
      <c r="T20" s="16" t="s">
        <v>91</v>
      </c>
    </row>
    <row r="21" customFormat="false" ht="15" hidden="false" customHeight="false" outlineLevel="0" collapsed="false">
      <c r="B21" s="10" t="s">
        <v>51</v>
      </c>
      <c r="C21" s="10" t="s">
        <v>35</v>
      </c>
      <c r="D21" s="10" t="n">
        <v>4</v>
      </c>
      <c r="T21" s="16" t="s">
        <v>92</v>
      </c>
    </row>
    <row r="22" customFormat="false" ht="15" hidden="false" customHeight="false" outlineLevel="0" collapsed="false">
      <c r="B22" s="10" t="s">
        <v>56</v>
      </c>
      <c r="C22" s="10" t="s">
        <v>35</v>
      </c>
      <c r="D22" s="10" t="n">
        <v>4</v>
      </c>
    </row>
    <row r="23" customFormat="false" ht="15" hidden="false" customHeight="false" outlineLevel="0" collapsed="false">
      <c r="B23" s="10" t="s">
        <v>50</v>
      </c>
      <c r="C23" s="10" t="s">
        <v>35</v>
      </c>
      <c r="D23" s="10" t="n">
        <v>4</v>
      </c>
    </row>
    <row r="24" customFormat="false" ht="15" hidden="false" customHeight="false" outlineLevel="0" collapsed="false">
      <c r="B24" s="10" t="s">
        <v>52</v>
      </c>
      <c r="C24" s="10" t="s">
        <v>37</v>
      </c>
      <c r="D24" s="10" t="n">
        <v>4</v>
      </c>
    </row>
    <row r="25" customFormat="false" ht="15" hidden="false" customHeight="false" outlineLevel="0" collapsed="false">
      <c r="B25" s="10" t="s">
        <v>55</v>
      </c>
      <c r="C25" s="10" t="s">
        <v>5</v>
      </c>
      <c r="D25" s="10" t="n">
        <v>4</v>
      </c>
    </row>
    <row r="26" customFormat="false" ht="15" hidden="false" customHeight="false" outlineLevel="0" collapsed="false">
      <c r="B26" s="10" t="s">
        <v>55</v>
      </c>
      <c r="C26" s="10" t="s">
        <v>36</v>
      </c>
      <c r="D26" s="10" t="n">
        <v>4</v>
      </c>
    </row>
    <row r="27" customFormat="false" ht="15" hidden="false" customHeight="false" outlineLevel="0" collapsed="false">
      <c r="B27" s="10" t="s">
        <v>51</v>
      </c>
      <c r="C27" s="10" t="s">
        <v>39</v>
      </c>
      <c r="D27" s="10" t="n">
        <v>3</v>
      </c>
    </row>
    <row r="28" customFormat="false" ht="15" hidden="false" customHeight="false" outlineLevel="0" collapsed="false">
      <c r="B28" s="10" t="s">
        <v>51</v>
      </c>
      <c r="C28" s="10" t="s">
        <v>38</v>
      </c>
      <c r="D28" s="10" t="n">
        <v>3</v>
      </c>
    </row>
    <row r="29" customFormat="false" ht="15" hidden="false" customHeight="false" outlineLevel="0" collapsed="false">
      <c r="B29" s="10" t="s">
        <v>52</v>
      </c>
      <c r="C29" s="10" t="s">
        <v>36</v>
      </c>
      <c r="D29" s="10" t="n">
        <v>3</v>
      </c>
    </row>
    <row r="30" customFormat="false" ht="15" hidden="false" customHeight="false" outlineLevel="0" collapsed="false">
      <c r="B30" s="10" t="s">
        <v>93</v>
      </c>
      <c r="C30" s="10" t="s">
        <v>37</v>
      </c>
      <c r="D30" s="10" t="n">
        <v>3</v>
      </c>
    </row>
    <row r="31" customFormat="false" ht="15" hidden="false" customHeight="false" outlineLevel="0" collapsed="false">
      <c r="B31" s="10" t="s">
        <v>54</v>
      </c>
      <c r="C31" s="10" t="s">
        <v>36</v>
      </c>
      <c r="D31" s="10" t="n">
        <v>3</v>
      </c>
    </row>
    <row r="32" customFormat="false" ht="15" hidden="false" customHeight="false" outlineLevel="0" collapsed="false">
      <c r="B32" s="10" t="s">
        <v>50</v>
      </c>
      <c r="C32" s="10" t="s">
        <v>45</v>
      </c>
      <c r="D32" s="10" t="n">
        <v>3</v>
      </c>
    </row>
    <row r="33" customFormat="false" ht="15" hidden="false" customHeight="false" outlineLevel="0" collapsed="false">
      <c r="B33" s="10" t="s">
        <v>52</v>
      </c>
      <c r="C33" s="10" t="s">
        <v>35</v>
      </c>
      <c r="D33" s="10" t="n">
        <v>3</v>
      </c>
    </row>
    <row r="34" customFormat="false" ht="15" hidden="false" customHeight="false" outlineLevel="0" collapsed="false">
      <c r="B34" s="10" t="s">
        <v>53</v>
      </c>
      <c r="C34" s="10" t="s">
        <v>37</v>
      </c>
      <c r="D34" s="10" t="n">
        <v>2</v>
      </c>
    </row>
    <row r="37" customFormat="false" ht="15" hidden="false" customHeight="false" outlineLevel="0" collapsed="false">
      <c r="B37" s="17" t="s">
        <v>94</v>
      </c>
    </row>
    <row r="38" customFormat="false" ht="15" hidden="false" customHeight="false" outlineLevel="0" collapsed="false">
      <c r="B38" s="9" t="s">
        <v>95</v>
      </c>
      <c r="C38" s="9" t="s">
        <v>96</v>
      </c>
      <c r="D38" s="9" t="s">
        <v>97</v>
      </c>
      <c r="E38" s="9" t="s">
        <v>98</v>
      </c>
    </row>
    <row r="39" customFormat="false" ht="15" hidden="false" customHeight="false" outlineLevel="0" collapsed="false">
      <c r="B39" s="10" t="s">
        <v>99</v>
      </c>
      <c r="C39" s="10" t="n">
        <v>0.117</v>
      </c>
      <c r="D39" s="10" t="s">
        <v>100</v>
      </c>
      <c r="E39" s="10" t="s">
        <v>101</v>
      </c>
    </row>
    <row r="40" customFormat="false" ht="15" hidden="false" customHeight="false" outlineLevel="0" collapsed="false">
      <c r="B40" s="10" t="s">
        <v>102</v>
      </c>
      <c r="C40" s="10" t="n">
        <v>-0.107</v>
      </c>
      <c r="D40" s="10" t="s">
        <v>100</v>
      </c>
      <c r="E40" s="1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T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10" min="7" style="0" width="14"/>
  </cols>
  <sheetData>
    <row r="2" customFormat="false" ht="16.15" hidden="false" customHeight="false" outlineLevel="0" collapsed="false">
      <c r="B2" s="5" t="s">
        <v>104</v>
      </c>
    </row>
    <row r="3" customFormat="false" ht="15" hidden="false" customHeight="false" outlineLevel="0" collapsed="false">
      <c r="B3" s="8" t="s">
        <v>105</v>
      </c>
    </row>
    <row r="5" customFormat="false" ht="15" hidden="false" customHeight="false" outlineLevel="0" collapsed="false">
      <c r="B5" s="9" t="s">
        <v>48</v>
      </c>
      <c r="C5" s="9" t="s">
        <v>106</v>
      </c>
      <c r="D5" s="9" t="s">
        <v>107</v>
      </c>
      <c r="E5" s="9" t="s">
        <v>21</v>
      </c>
      <c r="F5" s="9" t="s">
        <v>20</v>
      </c>
    </row>
    <row r="6" customFormat="false" ht="15" hidden="false" customHeight="false" outlineLevel="0" collapsed="false">
      <c r="B6" s="10" t="s">
        <v>4</v>
      </c>
      <c r="C6" s="20" t="n">
        <v>31.2</v>
      </c>
      <c r="D6" s="12" t="n">
        <v>18.06</v>
      </c>
      <c r="E6" s="12" t="n">
        <v>5.74</v>
      </c>
      <c r="F6" s="11" t="n">
        <v>17157.2</v>
      </c>
    </row>
    <row r="7" customFormat="false" ht="15" hidden="false" customHeight="false" outlineLevel="0" collapsed="false">
      <c r="B7" s="10" t="s">
        <v>50</v>
      </c>
      <c r="C7" s="20" t="n">
        <v>26.7</v>
      </c>
      <c r="D7" s="12" t="n">
        <v>19.08</v>
      </c>
      <c r="E7" s="12" t="n">
        <v>5.09</v>
      </c>
      <c r="F7" s="11" t="n">
        <v>16260.2</v>
      </c>
    </row>
    <row r="8" customFormat="false" ht="15" hidden="false" customHeight="false" outlineLevel="0" collapsed="false">
      <c r="B8" s="10" t="s">
        <v>51</v>
      </c>
      <c r="C8" s="20" t="n">
        <v>28.9</v>
      </c>
      <c r="D8" s="12" t="n">
        <v>17.2</v>
      </c>
      <c r="E8" s="12" t="n">
        <v>5.06</v>
      </c>
      <c r="F8" s="11" t="n">
        <v>14946.6</v>
      </c>
    </row>
    <row r="9" customFormat="false" ht="15" hidden="false" customHeight="false" outlineLevel="0" collapsed="false">
      <c r="B9" s="10" t="s">
        <v>52</v>
      </c>
      <c r="C9" s="20" t="n">
        <v>25.5</v>
      </c>
      <c r="D9" s="12" t="n">
        <v>14.49</v>
      </c>
      <c r="E9" s="12" t="n">
        <v>3.77</v>
      </c>
      <c r="F9" s="11" t="n">
        <v>11232.8</v>
      </c>
    </row>
    <row r="10" customFormat="false" ht="15" hidden="false" customHeight="false" outlineLevel="0" collapsed="false">
      <c r="B10" s="10" t="s">
        <v>53</v>
      </c>
      <c r="C10" s="20" t="n">
        <v>25.9</v>
      </c>
      <c r="D10" s="12" t="n">
        <v>12.81</v>
      </c>
      <c r="E10" s="12" t="n">
        <v>3.32</v>
      </c>
      <c r="F10" s="11" t="n">
        <v>11094</v>
      </c>
    </row>
    <row r="11" customFormat="false" ht="15" hidden="false" customHeight="false" outlineLevel="0" collapsed="false">
      <c r="B11" s="10" t="s">
        <v>54</v>
      </c>
      <c r="C11" s="20" t="n">
        <v>23.5</v>
      </c>
      <c r="D11" s="12" t="n">
        <v>15.04</v>
      </c>
      <c r="E11" s="12" t="n">
        <v>3.59</v>
      </c>
      <c r="F11" s="11" t="n">
        <v>10720</v>
      </c>
    </row>
    <row r="12" customFormat="false" ht="15" hidden="false" customHeight="false" outlineLevel="0" collapsed="false">
      <c r="B12" s="10" t="s">
        <v>55</v>
      </c>
      <c r="C12" s="20" t="n">
        <v>17.1</v>
      </c>
      <c r="D12" s="12" t="n">
        <v>20.33</v>
      </c>
      <c r="E12" s="12" t="n">
        <v>3.49</v>
      </c>
      <c r="F12" s="11" t="n">
        <v>10571.8</v>
      </c>
    </row>
    <row r="13" customFormat="false" ht="15" hidden="false" customHeight="false" outlineLevel="0" collapsed="false">
      <c r="B13" s="10" t="s">
        <v>56</v>
      </c>
      <c r="C13" s="20" t="n">
        <v>22.2</v>
      </c>
      <c r="D13" s="12" t="n">
        <v>14.02</v>
      </c>
      <c r="E13" s="12" t="n">
        <v>3.14</v>
      </c>
      <c r="F13" s="11" t="n">
        <v>9941</v>
      </c>
    </row>
    <row r="14" customFormat="false" ht="15" hidden="false" customHeight="false" outlineLevel="0" collapsed="false">
      <c r="B14" s="10" t="s">
        <v>57</v>
      </c>
      <c r="C14" s="20" t="n">
        <v>26.9</v>
      </c>
      <c r="D14" s="12" t="n">
        <v>12.28</v>
      </c>
      <c r="E14" s="12" t="n">
        <v>3.39</v>
      </c>
      <c r="F14" s="11" t="n">
        <v>9921.4</v>
      </c>
    </row>
    <row r="15" customFormat="false" ht="15" hidden="false" customHeight="false" outlineLevel="0" collapsed="false">
      <c r="B15" s="10" t="s">
        <v>58</v>
      </c>
      <c r="C15" s="20" t="n">
        <v>26.9</v>
      </c>
      <c r="D15" s="12" t="n">
        <v>11.69</v>
      </c>
      <c r="E15" s="12" t="n">
        <v>3.29</v>
      </c>
      <c r="F15" s="11" t="n">
        <v>9570.6</v>
      </c>
    </row>
    <row r="33" customFormat="false" ht="30" hidden="false" customHeight="true" outlineLevel="0" collapsed="false">
      <c r="B33" s="21" t="s">
        <v>108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</row>
  </sheetData>
  <mergeCells count="1">
    <mergeCell ref="B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T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5" min="3" style="0" width="18"/>
    <col collapsed="false" customWidth="true" hidden="false" outlineLevel="0" max="6" min="6" style="0" width="12"/>
    <col collapsed="false" customWidth="true" hidden="false" outlineLevel="0" max="10" min="7" style="0" width="14"/>
  </cols>
  <sheetData>
    <row r="2" customFormat="false" ht="16.15" hidden="false" customHeight="false" outlineLevel="0" collapsed="false">
      <c r="B2" s="5" t="s">
        <v>109</v>
      </c>
    </row>
    <row r="3" customFormat="false" ht="15" hidden="false" customHeight="false" outlineLevel="0" collapsed="false">
      <c r="B3" s="8" t="s">
        <v>110</v>
      </c>
    </row>
    <row r="5" customFormat="false" ht="15" hidden="false" customHeight="false" outlineLevel="0" collapsed="false">
      <c r="B5" s="9" t="s">
        <v>111</v>
      </c>
      <c r="C5" s="9" t="s">
        <v>112</v>
      </c>
      <c r="D5" s="9" t="s">
        <v>113</v>
      </c>
      <c r="E5" s="9" t="s">
        <v>114</v>
      </c>
      <c r="F5" s="9" t="s">
        <v>115</v>
      </c>
    </row>
    <row r="6" customFormat="false" ht="15" hidden="false" customHeight="false" outlineLevel="0" collapsed="false">
      <c r="B6" s="10" t="s">
        <v>116</v>
      </c>
      <c r="C6" s="22" t="n">
        <v>47</v>
      </c>
      <c r="D6" s="22" t="n">
        <v>1012</v>
      </c>
      <c r="E6" s="22" t="n">
        <v>86</v>
      </c>
      <c r="F6" s="10" t="n">
        <v>2096</v>
      </c>
    </row>
    <row r="7" customFormat="false" ht="15" hidden="false" customHeight="false" outlineLevel="0" collapsed="false">
      <c r="B7" s="10" t="s">
        <v>117</v>
      </c>
      <c r="C7" s="22" t="n">
        <v>49.1</v>
      </c>
      <c r="D7" s="22" t="n">
        <v>1012</v>
      </c>
      <c r="E7" s="22" t="n">
        <v>88.4</v>
      </c>
      <c r="F7" s="10" t="n">
        <v>657</v>
      </c>
    </row>
    <row r="8" customFormat="false" ht="15" hidden="false" customHeight="false" outlineLevel="0" collapsed="false">
      <c r="B8" s="10" t="s">
        <v>118</v>
      </c>
      <c r="C8" s="22" t="n">
        <v>54.7</v>
      </c>
      <c r="D8" s="22" t="n">
        <v>1010</v>
      </c>
      <c r="E8" s="22" t="n">
        <v>90</v>
      </c>
      <c r="F8" s="10" t="n">
        <v>151</v>
      </c>
    </row>
    <row r="33" customFormat="false" ht="30" hidden="false" customHeight="true" outlineLevel="0" collapsed="false">
      <c r="B33" s="21" t="s">
        <v>119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</row>
  </sheetData>
  <mergeCells count="1">
    <mergeCell ref="B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38"/>
    <col collapsed="false" customWidth="true" hidden="false" outlineLevel="0" max="6" min="6" style="0" width="12"/>
  </cols>
  <sheetData>
    <row r="2" customFormat="false" ht="16.15" hidden="false" customHeight="false" outlineLevel="0" collapsed="false">
      <c r="B2" s="5" t="s">
        <v>120</v>
      </c>
    </row>
    <row r="3" customFormat="false" ht="15" hidden="false" customHeight="false" outlineLevel="0" collapsed="false">
      <c r="B3" s="8" t="s">
        <v>121</v>
      </c>
    </row>
    <row r="5" customFormat="false" ht="15" hidden="false" customHeight="false" outlineLevel="0" collapsed="false">
      <c r="B5" s="17" t="s">
        <v>122</v>
      </c>
    </row>
    <row r="6" customFormat="false" ht="15" hidden="false" customHeight="false" outlineLevel="0" collapsed="false">
      <c r="B6" s="9" t="s">
        <v>123</v>
      </c>
      <c r="C6" s="9" t="s">
        <v>124</v>
      </c>
      <c r="D6" s="9" t="s">
        <v>125</v>
      </c>
    </row>
    <row r="7" customFormat="false" ht="27.75" hidden="false" customHeight="true" outlineLevel="0" collapsed="false">
      <c r="B7" s="10" t="s">
        <v>126</v>
      </c>
      <c r="C7" s="19" t="n">
        <v>84.79</v>
      </c>
      <c r="D7" s="23" t="s">
        <v>127</v>
      </c>
    </row>
    <row r="8" customFormat="false" ht="27.75" hidden="false" customHeight="true" outlineLevel="0" collapsed="false">
      <c r="B8" s="10" t="s">
        <v>128</v>
      </c>
      <c r="C8" s="19" t="n">
        <v>49.11</v>
      </c>
      <c r="D8" s="23" t="s">
        <v>129</v>
      </c>
    </row>
    <row r="9" customFormat="false" ht="27.75" hidden="false" customHeight="true" outlineLevel="0" collapsed="false">
      <c r="B9" s="10" t="s">
        <v>130</v>
      </c>
      <c r="C9" s="19" t="n">
        <v>94.8</v>
      </c>
      <c r="D9" s="23" t="s">
        <v>131</v>
      </c>
    </row>
    <row r="10" customFormat="false" ht="27.75" hidden="false" customHeight="true" outlineLevel="0" collapsed="false">
      <c r="B10" s="10" t="s">
        <v>132</v>
      </c>
      <c r="C10" s="19" t="n">
        <v>72.61</v>
      </c>
      <c r="D10" s="23" t="s">
        <v>133</v>
      </c>
    </row>
    <row r="13" customFormat="false" ht="15" hidden="false" customHeight="false" outlineLevel="0" collapsed="false">
      <c r="B13" s="17" t="s">
        <v>134</v>
      </c>
    </row>
    <row r="14" customFormat="false" ht="15" hidden="false" customHeight="false" outlineLevel="0" collapsed="false">
      <c r="B14" s="9" t="s">
        <v>135</v>
      </c>
      <c r="C14" s="9" t="s">
        <v>136</v>
      </c>
      <c r="D14" s="9" t="s">
        <v>137</v>
      </c>
    </row>
    <row r="15" customFormat="false" ht="15" hidden="false" customHeight="false" outlineLevel="0" collapsed="false">
      <c r="B15" s="10" t="s">
        <v>138</v>
      </c>
      <c r="C15" s="10" t="n">
        <v>88676</v>
      </c>
      <c r="D15" s="10" t="n">
        <v>13352</v>
      </c>
    </row>
    <row r="16" customFormat="false" ht="15" hidden="false" customHeight="false" outlineLevel="0" collapsed="false">
      <c r="B16" s="10" t="s">
        <v>139</v>
      </c>
      <c r="C16" s="10" t="n">
        <v>4862</v>
      </c>
      <c r="D16" s="10" t="n">
        <v>12887</v>
      </c>
    </row>
    <row r="19" customFormat="false" ht="15" hidden="false" customHeight="false" outlineLevel="0" collapsed="false">
      <c r="B19" s="17" t="s">
        <v>140</v>
      </c>
    </row>
    <row r="20" customFormat="false" ht="15" hidden="false" customHeight="false" outlineLevel="0" collapsed="false">
      <c r="B20" s="9" t="s">
        <v>95</v>
      </c>
      <c r="C20" s="9" t="s">
        <v>141</v>
      </c>
      <c r="D20" s="9" t="s">
        <v>142</v>
      </c>
      <c r="E20" s="9" t="s">
        <v>98</v>
      </c>
      <c r="F20" s="24" t="s">
        <v>143</v>
      </c>
    </row>
    <row r="21" customFormat="false" ht="27.75" hidden="false" customHeight="true" outlineLevel="0" collapsed="false">
      <c r="B21" s="10" t="s">
        <v>144</v>
      </c>
      <c r="C21" s="25" t="n">
        <v>0.065985</v>
      </c>
      <c r="D21" s="12" t="n">
        <v>101.96</v>
      </c>
      <c r="E21" s="23" t="s">
        <v>145</v>
      </c>
      <c r="F21" s="12" t="n">
        <v>101.96</v>
      </c>
    </row>
    <row r="22" customFormat="false" ht="27.75" hidden="false" customHeight="true" outlineLevel="0" collapsed="false">
      <c r="B22" s="10" t="s">
        <v>146</v>
      </c>
      <c r="C22" s="25" t="n">
        <v>0.042057</v>
      </c>
      <c r="D22" s="12" t="n">
        <v>57.39</v>
      </c>
      <c r="E22" s="23" t="s">
        <v>147</v>
      </c>
      <c r="F22" s="12" t="n">
        <v>57.39</v>
      </c>
    </row>
    <row r="23" customFormat="false" ht="27.75" hidden="false" customHeight="true" outlineLevel="0" collapsed="false">
      <c r="B23" s="10" t="s">
        <v>148</v>
      </c>
      <c r="C23" s="25" t="n">
        <v>-0.228276</v>
      </c>
      <c r="D23" s="12" t="n">
        <v>-46.9</v>
      </c>
      <c r="E23" s="23" t="s">
        <v>149</v>
      </c>
      <c r="F23" s="12" t="n">
        <v>46.9</v>
      </c>
    </row>
    <row r="24" customFormat="false" ht="27.75" hidden="false" customHeight="true" outlineLevel="0" collapsed="false">
      <c r="B24" s="10" t="s">
        <v>150</v>
      </c>
      <c r="C24" s="25" t="n">
        <v>0.15783</v>
      </c>
      <c r="D24" s="12" t="n">
        <v>33.17</v>
      </c>
      <c r="E24" s="23" t="s">
        <v>151</v>
      </c>
      <c r="F24" s="12" t="n">
        <v>33.17</v>
      </c>
    </row>
    <row r="25" customFormat="false" ht="27.75" hidden="false" customHeight="true" outlineLevel="0" collapsed="false">
      <c r="B25" s="10" t="s">
        <v>152</v>
      </c>
      <c r="C25" s="25" t="n">
        <v>0.557704</v>
      </c>
      <c r="D25" s="12" t="n">
        <v>24.21</v>
      </c>
      <c r="E25" s="23" t="s">
        <v>153</v>
      </c>
      <c r="F25" s="12" t="n">
        <v>24.21</v>
      </c>
    </row>
    <row r="26" customFormat="false" ht="27.75" hidden="false" customHeight="true" outlineLevel="0" collapsed="false">
      <c r="B26" s="10" t="s">
        <v>154</v>
      </c>
      <c r="C26" s="25" t="n">
        <v>-0.023291</v>
      </c>
      <c r="D26" s="12" t="n">
        <v>-13.45</v>
      </c>
      <c r="E26" s="23" t="s">
        <v>155</v>
      </c>
      <c r="F26" s="12" t="n">
        <v>13.45</v>
      </c>
    </row>
    <row r="27" customFormat="false" ht="27.75" hidden="false" customHeight="true" outlineLevel="0" collapsed="false">
      <c r="B27" s="10" t="s">
        <v>156</v>
      </c>
      <c r="C27" s="25" t="n">
        <v>0.008613</v>
      </c>
      <c r="D27" s="12" t="n">
        <v>7.41</v>
      </c>
      <c r="E27" s="23" t="s">
        <v>157</v>
      </c>
      <c r="F27" s="12" t="n">
        <v>7.41</v>
      </c>
    </row>
    <row r="28" customFormat="false" ht="27.75" hidden="false" customHeight="true" outlineLevel="0" collapsed="false">
      <c r="B28" s="10" t="s">
        <v>158</v>
      </c>
      <c r="C28" s="25" t="n">
        <v>0.005191</v>
      </c>
      <c r="D28" s="12" t="n">
        <v>7.21</v>
      </c>
      <c r="E28" s="23" t="s">
        <v>159</v>
      </c>
      <c r="F28" s="12" t="n">
        <v>7.21</v>
      </c>
    </row>
    <row r="29" customFormat="false" ht="15" hidden="false" customHeight="false" outlineLevel="0" collapsed="false">
      <c r="B29" s="26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2026-06-20T14:08:18Z</dcterms:created>
  <dc:creator>openpyxl</dc:creator>
  <dc:description/>
  <dc:language>en-US</dc:language>
  <cp:lastModifiedBy/>
  <dcterms:modified xsi:type="dcterms:W3CDTF">2026-06-20T14:08:19Z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